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zizt\OneDrive\Bureau\PFE\PFE Files\KPI's2027\"/>
    </mc:Choice>
  </mc:AlternateContent>
  <xr:revisionPtr revIDLastSave="0" documentId="13_ncr:1_{0FF4B4CC-DA88-4E57-A0D9-404A7ACD342A}" xr6:coauthVersionLast="47" xr6:coauthVersionMax="47" xr10:uidLastSave="{00000000-0000-0000-0000-000000000000}"/>
  <bookViews>
    <workbookView xWindow="-108" yWindow="-108" windowWidth="23256" windowHeight="13176" activeTab="2" xr2:uid="{FA719090-F069-4C35-AC61-55B2F789841F}"/>
  </bookViews>
  <sheets>
    <sheet name="Annual dashboard" sheetId="21" r:id="rId1"/>
    <sheet name="TCD" sheetId="20" r:id="rId2"/>
    <sheet name="Suivi Journalier des fautes" sheetId="4" r:id="rId3"/>
    <sheet name="Depuis 2018" sheetId="22" r:id="rId4"/>
  </sheets>
  <definedNames>
    <definedName name="_xlnm._FilterDatabase" localSheetId="3" hidden="1">'Depuis 2018'!$R$1:$AP$68</definedName>
    <definedName name="CNC">Table1[#All]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4" i="4" l="1"/>
  <c r="A673" i="4"/>
  <c r="A67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50" i="4"/>
  <c r="A651" i="4"/>
  <c r="A652" i="4"/>
  <c r="A653" i="4"/>
  <c r="A654" i="4"/>
  <c r="A648" i="4"/>
  <c r="A649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H630" i="4"/>
  <c r="A630" i="4"/>
  <c r="A627" i="4"/>
  <c r="A628" i="4"/>
  <c r="A629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584" i="4"/>
  <c r="A585" i="4"/>
  <c r="A586" i="4"/>
  <c r="H606" i="4"/>
  <c r="A582" i="4"/>
  <c r="A583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H579" i="4"/>
  <c r="A581" i="4"/>
  <c r="A580" i="4"/>
  <c r="A579" i="4"/>
  <c r="A578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CD12" i="20"/>
  <c r="CE12" i="20" s="1"/>
  <c r="CF12" i="20" s="1"/>
  <c r="CG12" i="20" s="1"/>
  <c r="CH12" i="20" s="1"/>
  <c r="CI12" i="20" s="1"/>
  <c r="CD11" i="20"/>
  <c r="CE11" i="20" s="1"/>
  <c r="CF11" i="20" s="1"/>
  <c r="CG11" i="20" s="1"/>
  <c r="CH11" i="20" s="1"/>
  <c r="CI11" i="20" s="1"/>
  <c r="CI28" i="20" s="1"/>
  <c r="BX12" i="20"/>
  <c r="BY12" i="20" s="1"/>
  <c r="BZ12" i="20" s="1"/>
  <c r="CA12" i="20" s="1"/>
  <c r="CB12" i="20" s="1"/>
  <c r="CC12" i="20" s="1"/>
  <c r="BX11" i="20"/>
  <c r="BY11" i="20" s="1"/>
  <c r="BZ11" i="20" s="1"/>
  <c r="CA11" i="20" s="1"/>
  <c r="CB11" i="20" s="1"/>
  <c r="CC11" i="20" s="1"/>
  <c r="CH28" i="20"/>
  <c r="CG28" i="20"/>
  <c r="CF28" i="20"/>
  <c r="CE28" i="20"/>
  <c r="CD28" i="20"/>
  <c r="CB28" i="20"/>
  <c r="CA28" i="20"/>
  <c r="BZ28" i="20"/>
  <c r="BY28" i="20"/>
  <c r="BX28" i="20"/>
  <c r="BS28" i="20"/>
  <c r="BT28" i="20"/>
  <c r="BU28" i="20"/>
  <c r="BV28" i="20"/>
  <c r="BR28" i="20"/>
  <c r="H560" i="4"/>
  <c r="A558" i="4"/>
  <c r="A559" i="4"/>
  <c r="A560" i="4"/>
  <c r="A557" i="4"/>
  <c r="A556" i="4"/>
  <c r="A555" i="4"/>
  <c r="A554" i="4"/>
  <c r="A553" i="4"/>
  <c r="A552" i="4"/>
  <c r="A551" i="4"/>
  <c r="A550" i="4"/>
  <c r="A549" i="4"/>
  <c r="A548" i="4"/>
  <c r="BW13" i="20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BS11" i="20"/>
  <c r="BR11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DS28" i="20"/>
  <c r="DT28" i="20"/>
  <c r="DU28" i="20"/>
  <c r="DV28" i="20"/>
  <c r="DW28" i="20"/>
  <c r="DX28" i="20"/>
  <c r="DY28" i="20"/>
  <c r="DZ28" i="20"/>
  <c r="EA28" i="20"/>
  <c r="EB28" i="20"/>
  <c r="EC28" i="20"/>
  <c r="ED28" i="20"/>
  <c r="EE28" i="20"/>
  <c r="EF28" i="20"/>
  <c r="EG28" i="20"/>
  <c r="EH28" i="20"/>
  <c r="EI28" i="20"/>
  <c r="EJ28" i="20"/>
  <c r="EK28" i="20"/>
  <c r="EL28" i="20"/>
  <c r="EM28" i="20"/>
  <c r="EN28" i="20"/>
  <c r="EO28" i="20"/>
  <c r="EP28" i="20"/>
  <c r="EQ28" i="20"/>
  <c r="ER28" i="20"/>
  <c r="ES28" i="20"/>
  <c r="ET28" i="20"/>
  <c r="EU28" i="20"/>
  <c r="EV28" i="20"/>
  <c r="EW28" i="20"/>
  <c r="EX28" i="20"/>
  <c r="EY28" i="20"/>
  <c r="EZ28" i="20"/>
  <c r="FA28" i="20"/>
  <c r="FB28" i="20"/>
  <c r="FC28" i="20"/>
  <c r="FD28" i="20"/>
  <c r="FE28" i="20"/>
  <c r="FF28" i="20"/>
  <c r="FG28" i="20"/>
  <c r="FH28" i="20"/>
  <c r="FI28" i="20"/>
  <c r="FJ28" i="20"/>
  <c r="FK28" i="20"/>
  <c r="FL28" i="20"/>
  <c r="FM28" i="20"/>
  <c r="FN28" i="20"/>
  <c r="FO28" i="20"/>
  <c r="FP28" i="20"/>
  <c r="FQ28" i="20"/>
  <c r="FR28" i="20"/>
  <c r="FS28" i="20"/>
  <c r="FT28" i="20"/>
  <c r="FU28" i="20"/>
  <c r="FV28" i="20"/>
  <c r="FW28" i="20"/>
  <c r="FX28" i="20"/>
  <c r="FY28" i="20"/>
  <c r="FZ28" i="20"/>
  <c r="GA28" i="20"/>
  <c r="GB28" i="20"/>
  <c r="GC28" i="20"/>
  <c r="GD28" i="20"/>
  <c r="GE28" i="20"/>
  <c r="GF28" i="20"/>
  <c r="GG28" i="20"/>
  <c r="GH28" i="20"/>
  <c r="GI28" i="20"/>
  <c r="GJ28" i="20"/>
  <c r="GK28" i="20"/>
  <c r="GL28" i="20"/>
  <c r="GM28" i="20"/>
  <c r="GN28" i="20"/>
  <c r="GO28" i="20"/>
  <c r="GP28" i="20"/>
  <c r="GQ28" i="20"/>
  <c r="GR28" i="20"/>
  <c r="GS28" i="20"/>
  <c r="GT28" i="20"/>
  <c r="GU28" i="20"/>
  <c r="GV28" i="20"/>
  <c r="GW28" i="20"/>
  <c r="GX28" i="20"/>
  <c r="GY28" i="20"/>
  <c r="GZ28" i="20"/>
  <c r="HA28" i="20"/>
  <c r="HB28" i="20"/>
  <c r="HC28" i="20"/>
  <c r="HD28" i="20"/>
  <c r="HE28" i="20"/>
  <c r="HF28" i="20"/>
  <c r="HG28" i="20"/>
  <c r="HH28" i="20"/>
  <c r="HI28" i="20"/>
  <c r="HJ28" i="20"/>
  <c r="HK28" i="20"/>
  <c r="HL28" i="20"/>
  <c r="HM28" i="20"/>
  <c r="HN28" i="20"/>
  <c r="HO28" i="20"/>
  <c r="HP28" i="20"/>
  <c r="HQ28" i="20"/>
  <c r="HR28" i="20"/>
  <c r="HS28" i="20"/>
  <c r="HT28" i="20"/>
  <c r="HU28" i="20"/>
  <c r="HV28" i="20"/>
  <c r="HW28" i="20"/>
  <c r="HX28" i="20"/>
  <c r="HY28" i="20"/>
  <c r="HZ28" i="20"/>
  <c r="IA28" i="20"/>
  <c r="IB28" i="20"/>
  <c r="IC28" i="20"/>
  <c r="ID28" i="20"/>
  <c r="IE28" i="20"/>
  <c r="IF28" i="20"/>
  <c r="IG28" i="20"/>
  <c r="IH28" i="20"/>
  <c r="II28" i="20"/>
  <c r="IJ28" i="20"/>
  <c r="IK28" i="20"/>
  <c r="IL28" i="20"/>
  <c r="IM28" i="20"/>
  <c r="IN28" i="20"/>
  <c r="IO28" i="20"/>
  <c r="IP28" i="20"/>
  <c r="IQ28" i="20"/>
  <c r="IR28" i="20"/>
  <c r="IS28" i="20"/>
  <c r="IT28" i="20"/>
  <c r="IU28" i="20"/>
  <c r="IV28" i="20"/>
  <c r="IW28" i="20"/>
  <c r="IX28" i="20"/>
  <c r="IY28" i="20"/>
  <c r="IZ28" i="20"/>
  <c r="JA28" i="20"/>
  <c r="JB28" i="20"/>
  <c r="JC28" i="20"/>
  <c r="JD28" i="20"/>
  <c r="JE28" i="20"/>
  <c r="JF28" i="20"/>
  <c r="JG28" i="20"/>
  <c r="JH28" i="20"/>
  <c r="JI28" i="20"/>
  <c r="JJ28" i="20"/>
  <c r="JK28" i="20"/>
  <c r="JL28" i="20"/>
  <c r="JM28" i="20"/>
  <c r="JN28" i="20"/>
  <c r="JO28" i="20"/>
  <c r="JP28" i="20"/>
  <c r="JQ28" i="20"/>
  <c r="JR28" i="20"/>
  <c r="JS28" i="20"/>
  <c r="JT28" i="20"/>
  <c r="JU28" i="20"/>
  <c r="JV28" i="20"/>
  <c r="JW28" i="20"/>
  <c r="JX28" i="20"/>
  <c r="JY28" i="20"/>
  <c r="JZ28" i="20"/>
  <c r="KA28" i="20"/>
  <c r="KB28" i="20"/>
  <c r="KC28" i="20"/>
  <c r="KD28" i="20"/>
  <c r="KE28" i="20"/>
  <c r="KF28" i="20"/>
  <c r="KG28" i="20"/>
  <c r="KH28" i="20"/>
  <c r="KI28" i="20"/>
  <c r="KJ28" i="20"/>
  <c r="KK28" i="20"/>
  <c r="KL28" i="20"/>
  <c r="KM28" i="20"/>
  <c r="KN28" i="20"/>
  <c r="KO28" i="20"/>
  <c r="KP28" i="20"/>
  <c r="KQ28" i="20"/>
  <c r="KR28" i="20"/>
  <c r="KS28" i="20"/>
  <c r="KT28" i="20"/>
  <c r="KU28" i="20"/>
  <c r="KV28" i="20"/>
  <c r="KW28" i="20"/>
  <c r="KX28" i="20"/>
  <c r="KY28" i="20"/>
  <c r="KZ28" i="20"/>
  <c r="LA28" i="20"/>
  <c r="LB28" i="20"/>
  <c r="LC28" i="20"/>
  <c r="LD28" i="20"/>
  <c r="LE28" i="20"/>
  <c r="LF28" i="20"/>
  <c r="LG28" i="20"/>
  <c r="LH28" i="20"/>
  <c r="LI28" i="20"/>
  <c r="LJ28" i="20"/>
  <c r="LK28" i="20"/>
  <c r="LL28" i="20"/>
  <c r="LM28" i="20"/>
  <c r="LN28" i="20"/>
  <c r="LO28" i="20"/>
  <c r="LP28" i="20"/>
  <c r="LQ28" i="20"/>
  <c r="LR28" i="20"/>
  <c r="LS28" i="20"/>
  <c r="LT28" i="20"/>
  <c r="LU28" i="20"/>
  <c r="LV28" i="20"/>
  <c r="LW28" i="20"/>
  <c r="LX28" i="20"/>
  <c r="LY28" i="20"/>
  <c r="LZ28" i="20"/>
  <c r="MA28" i="20"/>
  <c r="MB28" i="20"/>
  <c r="MC28" i="20"/>
  <c r="MD28" i="20"/>
  <c r="ME28" i="20"/>
  <c r="MF28" i="20"/>
  <c r="MG28" i="20"/>
  <c r="MH28" i="20"/>
  <c r="MI28" i="20"/>
  <c r="MJ28" i="20"/>
  <c r="MK28" i="20"/>
  <c r="ML28" i="20"/>
  <c r="MM28" i="20"/>
  <c r="MN28" i="20"/>
  <c r="MO28" i="20"/>
  <c r="MP28" i="20"/>
  <c r="MQ28" i="20"/>
  <c r="MR28" i="20"/>
  <c r="MS28" i="20"/>
  <c r="MT28" i="20"/>
  <c r="MU28" i="20"/>
  <c r="MV28" i="20"/>
  <c r="MW28" i="20"/>
  <c r="MX28" i="20"/>
  <c r="MY28" i="20"/>
  <c r="MZ28" i="20"/>
  <c r="NA28" i="20"/>
  <c r="NB28" i="20"/>
  <c r="NC28" i="20"/>
  <c r="H531" i="4"/>
  <c r="A531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BT11" i="20"/>
  <c r="BU11" i="20" s="1"/>
  <c r="BV11" i="20" s="1"/>
  <c r="BW11" i="20" s="1"/>
  <c r="BR12" i="20"/>
  <c r="BS12" i="20" s="1"/>
  <c r="BT12" i="20" s="1"/>
  <c r="BU12" i="20" s="1"/>
  <c r="BV12" i="20" s="1"/>
  <c r="BW12" i="20" s="1"/>
  <c r="H490" i="4"/>
  <c r="A490" i="4"/>
  <c r="A488" i="4"/>
  <c r="A489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7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BQ22" i="20"/>
  <c r="AN14" i="20"/>
  <c r="AO14" i="20"/>
  <c r="AP14" i="20"/>
  <c r="AQ14" i="20"/>
  <c r="AS14" i="20"/>
  <c r="AT14" i="20"/>
  <c r="AU14" i="20"/>
  <c r="AV14" i="20"/>
  <c r="AW14" i="20"/>
  <c r="AY14" i="20"/>
  <c r="AZ14" i="20"/>
  <c r="BA14" i="20"/>
  <c r="BB14" i="20"/>
  <c r="BC14" i="20"/>
  <c r="BE14" i="20"/>
  <c r="BF14" i="20"/>
  <c r="BG14" i="20"/>
  <c r="BH14" i="20"/>
  <c r="BI14" i="20"/>
  <c r="BL14" i="20"/>
  <c r="BL18" i="20" s="1"/>
  <c r="BM14" i="20"/>
  <c r="BM18" i="20" s="1"/>
  <c r="BN14" i="20"/>
  <c r="BO14" i="20"/>
  <c r="BO18" i="20" s="1"/>
  <c r="BP14" i="20"/>
  <c r="BR14" i="20"/>
  <c r="BS14" i="20"/>
  <c r="BT14" i="20"/>
  <c r="BU14" i="20"/>
  <c r="BV14" i="20"/>
  <c r="BI17" i="20"/>
  <c r="AN15" i="20"/>
  <c r="AN17" i="20" s="1"/>
  <c r="AO15" i="20"/>
  <c r="AO17" i="20" s="1"/>
  <c r="AP15" i="20"/>
  <c r="AP17" i="20" s="1"/>
  <c r="AQ15" i="20"/>
  <c r="AQ17" i="20" s="1"/>
  <c r="AS15" i="20"/>
  <c r="AS17" i="20" s="1"/>
  <c r="AT15" i="20"/>
  <c r="AT17" i="20" s="1"/>
  <c r="AU15" i="20"/>
  <c r="AU17" i="20" s="1"/>
  <c r="AV15" i="20"/>
  <c r="AV17" i="20" s="1"/>
  <c r="AW15" i="20"/>
  <c r="AW17" i="20" s="1"/>
  <c r="AY15" i="20"/>
  <c r="AY17" i="20" s="1"/>
  <c r="AZ15" i="20"/>
  <c r="AZ17" i="20" s="1"/>
  <c r="BA15" i="20"/>
  <c r="BA17" i="20" s="1"/>
  <c r="BB15" i="20"/>
  <c r="BB17" i="20" s="1"/>
  <c r="BC15" i="20"/>
  <c r="BC17" i="20" s="1"/>
  <c r="BE15" i="20"/>
  <c r="BE17" i="20" s="1"/>
  <c r="BF15" i="20"/>
  <c r="BF17" i="20" s="1"/>
  <c r="BG15" i="20"/>
  <c r="BG17" i="20" s="1"/>
  <c r="BH15" i="20"/>
  <c r="BH17" i="20" s="1"/>
  <c r="BI15" i="20"/>
  <c r="BL15" i="20"/>
  <c r="BL17" i="20" s="1"/>
  <c r="BM15" i="20"/>
  <c r="BM17" i="20" s="1"/>
  <c r="BN15" i="20"/>
  <c r="BN17" i="20" s="1"/>
  <c r="BO15" i="20"/>
  <c r="BO17" i="20" s="1"/>
  <c r="BP15" i="20"/>
  <c r="BP17" i="20" s="1"/>
  <c r="AM15" i="20"/>
  <c r="BN18" i="20"/>
  <c r="H450" i="4"/>
  <c r="A451" i="4"/>
  <c r="A450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CI25" i="20"/>
  <c r="CI24" i="20"/>
  <c r="CI23" i="20"/>
  <c r="CI22" i="20"/>
  <c r="CI21" i="20"/>
  <c r="CC25" i="20"/>
  <c r="CC24" i="20"/>
  <c r="CC23" i="20"/>
  <c r="CC22" i="20"/>
  <c r="CJ22" i="20" s="1"/>
  <c r="CC21" i="20"/>
  <c r="CJ21" i="20" s="1"/>
  <c r="BW25" i="20"/>
  <c r="BW24" i="20"/>
  <c r="BW23" i="20"/>
  <c r="BW22" i="20"/>
  <c r="BW21" i="20"/>
  <c r="BQ25" i="20"/>
  <c r="BQ24" i="20"/>
  <c r="BQ23" i="20"/>
  <c r="BQ21" i="20"/>
  <c r="A431" i="4"/>
  <c r="A432" i="4"/>
  <c r="A433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11" i="4"/>
  <c r="H410" i="4"/>
  <c r="A410" i="4"/>
  <c r="BL11" i="20"/>
  <c r="BM11" i="20" s="1"/>
  <c r="BN11" i="20" s="1"/>
  <c r="BO11" i="20" s="1"/>
  <c r="BP11" i="20" s="1"/>
  <c r="BQ11" i="20" s="1"/>
  <c r="BE11" i="20"/>
  <c r="BF11" i="20" s="1"/>
  <c r="BG11" i="20" s="1"/>
  <c r="BH11" i="20" s="1"/>
  <c r="BI11" i="20" s="1"/>
  <c r="BJ11" i="20" s="1"/>
  <c r="AY11" i="20"/>
  <c r="AZ11" i="20" s="1"/>
  <c r="BA11" i="20" s="1"/>
  <c r="BB11" i="20" s="1"/>
  <c r="BC11" i="20" s="1"/>
  <c r="BD11" i="20" s="1"/>
  <c r="AS11" i="20"/>
  <c r="AT11" i="20" s="1"/>
  <c r="AU11" i="20" s="1"/>
  <c r="AV11" i="20" s="1"/>
  <c r="AW11" i="20" s="1"/>
  <c r="AX11" i="20" s="1"/>
  <c r="AM11" i="20"/>
  <c r="AN11" i="20" s="1"/>
  <c r="AO11" i="20" s="1"/>
  <c r="AP11" i="20" s="1"/>
  <c r="AQ11" i="20" s="1"/>
  <c r="AR11" i="20" s="1"/>
  <c r="BJ21" i="20"/>
  <c r="BD21" i="20"/>
  <c r="AX21" i="20"/>
  <c r="AR21" i="20"/>
  <c r="LY21" i="20"/>
  <c r="LW21" i="20"/>
  <c r="LQ21" i="20"/>
  <c r="LK21" i="20"/>
  <c r="LE21" i="20"/>
  <c r="KX21" i="20"/>
  <c r="KR21" i="20"/>
  <c r="KL21" i="20"/>
  <c r="KF21" i="20"/>
  <c r="JZ21" i="20"/>
  <c r="U50" i="22"/>
  <c r="V50" i="22"/>
  <c r="W50" i="22"/>
  <c r="X50" i="22"/>
  <c r="AC50" i="22"/>
  <c r="T50" i="22"/>
  <c r="AC51" i="22"/>
  <c r="Q4" i="20"/>
  <c r="R4" i="20"/>
  <c r="CC13" i="20" l="1"/>
  <c r="CC14" i="20"/>
  <c r="CC19" i="20"/>
  <c r="CC28" i="20"/>
  <c r="CI19" i="20"/>
  <c r="CJ11" i="20"/>
  <c r="BW19" i="20"/>
  <c r="CJ24" i="20"/>
  <c r="CJ23" i="20"/>
  <c r="CJ25" i="20"/>
  <c r="BQ15" i="20"/>
  <c r="BQ17" i="20" s="1"/>
  <c r="BK21" i="20"/>
  <c r="BK11" i="20"/>
  <c r="V3" i="22"/>
  <c r="V7" i="22"/>
  <c r="V11" i="22"/>
  <c r="V15" i="22"/>
  <c r="V19" i="22"/>
  <c r="V23" i="22"/>
  <c r="V27" i="22"/>
  <c r="V31" i="22"/>
  <c r="V39" i="22"/>
  <c r="V43" i="22"/>
  <c r="V47" i="22"/>
  <c r="AA9" i="20"/>
  <c r="AA12" i="20"/>
  <c r="AA8" i="20"/>
  <c r="AA13" i="20"/>
  <c r="AA11" i="20"/>
  <c r="CJ15" i="20" l="1"/>
  <c r="BW28" i="20"/>
  <c r="ND11" i="20"/>
  <c r="ND21" i="20"/>
  <c r="AB47" i="22"/>
  <c r="AB46" i="22"/>
  <c r="AB43" i="22"/>
  <c r="AB42" i="22"/>
  <c r="AB39" i="22"/>
  <c r="AB38" i="22"/>
  <c r="AB31" i="22"/>
  <c r="AB30" i="22"/>
  <c r="AB27" i="22"/>
  <c r="AB26" i="22"/>
  <c r="AB23" i="22"/>
  <c r="AB22" i="22"/>
  <c r="AB19" i="22"/>
  <c r="AB18" i="22"/>
  <c r="AB15" i="22"/>
  <c r="AB14" i="22"/>
  <c r="AB11" i="22"/>
  <c r="AB10" i="22"/>
  <c r="AB3" i="22"/>
  <c r="AB2" i="22"/>
  <c r="AB6" i="22"/>
  <c r="AB7" i="22"/>
  <c r="Z35" i="22"/>
  <c r="AA35" i="22"/>
  <c r="Y34" i="22"/>
  <c r="Y50" i="22" s="1"/>
  <c r="Z34" i="22"/>
  <c r="Z50" i="22" s="1"/>
  <c r="AA34" i="22"/>
  <c r="AA50" i="22" s="1"/>
  <c r="V35" i="22" l="1"/>
  <c r="AB34" i="22"/>
  <c r="AB50" i="22" s="1"/>
  <c r="W51" i="22"/>
  <c r="X51" i="22"/>
  <c r="Y51" i="22"/>
  <c r="Z51" i="22"/>
  <c r="AA51" i="22"/>
  <c r="V51" i="22" l="1"/>
  <c r="AB35" i="22"/>
  <c r="AB51" i="22"/>
  <c r="Y6" i="20"/>
  <c r="Y7" i="20"/>
  <c r="Y8" i="20"/>
  <c r="Y14" i="20" s="1"/>
  <c r="Y9" i="20"/>
  <c r="Y10" i="20"/>
  <c r="Y11" i="20"/>
  <c r="Y12" i="20"/>
  <c r="Y13" i="20"/>
  <c r="A409" i="4"/>
  <c r="A408" i="4"/>
  <c r="A407" i="4"/>
  <c r="A406" i="4"/>
  <c r="NC14" i="20"/>
  <c r="NC18" i="20" s="1"/>
  <c r="LZ14" i="20"/>
  <c r="LZ18" i="20" s="1"/>
  <c r="KY14" i="20"/>
  <c r="KY18" i="20" s="1"/>
  <c r="JW14" i="20"/>
  <c r="JW18" i="20" s="1"/>
  <c r="IU14" i="20"/>
  <c r="IU18" i="20" s="1"/>
  <c r="HT14" i="20"/>
  <c r="HT18" i="20" s="1"/>
  <c r="GQ14" i="20"/>
  <c r="GQ18" i="20" s="1"/>
  <c r="FO14" i="20"/>
  <c r="FO18" i="20" s="1"/>
  <c r="EN14" i="20"/>
  <c r="EN18" i="20" s="1"/>
  <c r="DL14" i="20"/>
  <c r="DL18" i="20" s="1"/>
  <c r="BX14" i="20"/>
  <c r="BY14" i="20"/>
  <c r="BZ14" i="20"/>
  <c r="CA14" i="20"/>
  <c r="CB14" i="20"/>
  <c r="CD14" i="20"/>
  <c r="CE14" i="20"/>
  <c r="CF14" i="20"/>
  <c r="CG14" i="20"/>
  <c r="CH14" i="20"/>
  <c r="CK14" i="20"/>
  <c r="CK18" i="20" s="1"/>
  <c r="CL14" i="20"/>
  <c r="CL18" i="20" s="1"/>
  <c r="CM14" i="20"/>
  <c r="CM18" i="20" s="1"/>
  <c r="CN14" i="20"/>
  <c r="CN18" i="20" s="1"/>
  <c r="CO14" i="20"/>
  <c r="CO18" i="20" s="1"/>
  <c r="CP14" i="20"/>
  <c r="CP18" i="20" s="1"/>
  <c r="CQ14" i="20"/>
  <c r="CQ18" i="20" s="1"/>
  <c r="CR14" i="20"/>
  <c r="CR18" i="20" s="1"/>
  <c r="CS14" i="20"/>
  <c r="CS18" i="20" s="1"/>
  <c r="CT14" i="20"/>
  <c r="CT18" i="20" s="1"/>
  <c r="CU14" i="20"/>
  <c r="CU18" i="20" s="1"/>
  <c r="CV14" i="20"/>
  <c r="CV18" i="20" s="1"/>
  <c r="CW14" i="20"/>
  <c r="CW18" i="20" s="1"/>
  <c r="CX14" i="20"/>
  <c r="CX18" i="20" s="1"/>
  <c r="CY14" i="20"/>
  <c r="CY18" i="20" s="1"/>
  <c r="CZ14" i="20"/>
  <c r="CZ18" i="20" s="1"/>
  <c r="DA14" i="20"/>
  <c r="DA18" i="20" s="1"/>
  <c r="DB14" i="20"/>
  <c r="DB18" i="20" s="1"/>
  <c r="DC14" i="20"/>
  <c r="DC18" i="20" s="1"/>
  <c r="DD14" i="20"/>
  <c r="DD18" i="20" s="1"/>
  <c r="DE14" i="20"/>
  <c r="DE18" i="20" s="1"/>
  <c r="DF14" i="20"/>
  <c r="DF18" i="20" s="1"/>
  <c r="DG14" i="20"/>
  <c r="DG18" i="20" s="1"/>
  <c r="DH14" i="20"/>
  <c r="DH18" i="20" s="1"/>
  <c r="DI14" i="20"/>
  <c r="DI18" i="20" s="1"/>
  <c r="DJ14" i="20"/>
  <c r="DJ18" i="20" s="1"/>
  <c r="DK14" i="20"/>
  <c r="DK18" i="20" s="1"/>
  <c r="DM14" i="20"/>
  <c r="DM18" i="20" s="1"/>
  <c r="DN14" i="20"/>
  <c r="DN18" i="20" s="1"/>
  <c r="DO14" i="20"/>
  <c r="DO18" i="20" s="1"/>
  <c r="DP14" i="20"/>
  <c r="DP18" i="20" s="1"/>
  <c r="DQ14" i="20"/>
  <c r="DQ18" i="20" s="1"/>
  <c r="DR14" i="20"/>
  <c r="DR18" i="20" s="1"/>
  <c r="DS14" i="20"/>
  <c r="DS18" i="20" s="1"/>
  <c r="DT14" i="20"/>
  <c r="DT18" i="20" s="1"/>
  <c r="DU14" i="20"/>
  <c r="DU18" i="20" s="1"/>
  <c r="DV14" i="20"/>
  <c r="DV18" i="20" s="1"/>
  <c r="DW14" i="20"/>
  <c r="DW18" i="20" s="1"/>
  <c r="DX14" i="20"/>
  <c r="DX18" i="20" s="1"/>
  <c r="DY14" i="20"/>
  <c r="DY18" i="20" s="1"/>
  <c r="DZ14" i="20"/>
  <c r="DZ18" i="20" s="1"/>
  <c r="EA14" i="20"/>
  <c r="EA18" i="20" s="1"/>
  <c r="EB14" i="20"/>
  <c r="EB18" i="20" s="1"/>
  <c r="EC14" i="20"/>
  <c r="EC18" i="20" s="1"/>
  <c r="ED14" i="20"/>
  <c r="ED18" i="20" s="1"/>
  <c r="EE14" i="20"/>
  <c r="EE18" i="20" s="1"/>
  <c r="EF14" i="20"/>
  <c r="EF18" i="20" s="1"/>
  <c r="EG14" i="20"/>
  <c r="EG18" i="20" s="1"/>
  <c r="EH14" i="20"/>
  <c r="EH18" i="20" s="1"/>
  <c r="EI14" i="20"/>
  <c r="EI18" i="20" s="1"/>
  <c r="EJ14" i="20"/>
  <c r="EJ18" i="20" s="1"/>
  <c r="EK14" i="20"/>
  <c r="EK18" i="20" s="1"/>
  <c r="EL14" i="20"/>
  <c r="EL18" i="20" s="1"/>
  <c r="EM14" i="20"/>
  <c r="EM18" i="20" s="1"/>
  <c r="EO14" i="20"/>
  <c r="EO18" i="20" s="1"/>
  <c r="EP14" i="20"/>
  <c r="EP18" i="20" s="1"/>
  <c r="EQ14" i="20"/>
  <c r="EQ18" i="20" s="1"/>
  <c r="ER14" i="20"/>
  <c r="ER18" i="20" s="1"/>
  <c r="ES14" i="20"/>
  <c r="ES18" i="20" s="1"/>
  <c r="ET14" i="20"/>
  <c r="ET18" i="20" s="1"/>
  <c r="EU14" i="20"/>
  <c r="EU18" i="20" s="1"/>
  <c r="EV14" i="20"/>
  <c r="EV18" i="20" s="1"/>
  <c r="EW14" i="20"/>
  <c r="EW18" i="20" s="1"/>
  <c r="EX14" i="20"/>
  <c r="EX18" i="20" s="1"/>
  <c r="EY14" i="20"/>
  <c r="EY18" i="20" s="1"/>
  <c r="EZ14" i="20"/>
  <c r="EZ18" i="20" s="1"/>
  <c r="FA14" i="20"/>
  <c r="FA18" i="20" s="1"/>
  <c r="FB14" i="20"/>
  <c r="FB18" i="20" s="1"/>
  <c r="FC14" i="20"/>
  <c r="FC18" i="20" s="1"/>
  <c r="FD14" i="20"/>
  <c r="FD18" i="20" s="1"/>
  <c r="FE14" i="20"/>
  <c r="FE18" i="20" s="1"/>
  <c r="FF14" i="20"/>
  <c r="FF18" i="20" s="1"/>
  <c r="FG14" i="20"/>
  <c r="FG18" i="20" s="1"/>
  <c r="FH14" i="20"/>
  <c r="FH18" i="20" s="1"/>
  <c r="FI14" i="20"/>
  <c r="FI18" i="20" s="1"/>
  <c r="FJ14" i="20"/>
  <c r="FJ18" i="20" s="1"/>
  <c r="FK14" i="20"/>
  <c r="FK18" i="20" s="1"/>
  <c r="FL14" i="20"/>
  <c r="FL18" i="20" s="1"/>
  <c r="FM14" i="20"/>
  <c r="FM18" i="20" s="1"/>
  <c r="FN14" i="20"/>
  <c r="FN18" i="20" s="1"/>
  <c r="FP14" i="20"/>
  <c r="FP18" i="20" s="1"/>
  <c r="FQ14" i="20"/>
  <c r="FQ18" i="20" s="1"/>
  <c r="FR14" i="20"/>
  <c r="FR18" i="20" s="1"/>
  <c r="FS14" i="20"/>
  <c r="FS18" i="20" s="1"/>
  <c r="FT14" i="20"/>
  <c r="FT18" i="20" s="1"/>
  <c r="FU14" i="20"/>
  <c r="FU18" i="20" s="1"/>
  <c r="FV14" i="20"/>
  <c r="FV18" i="20" s="1"/>
  <c r="FW14" i="20"/>
  <c r="FW18" i="20" s="1"/>
  <c r="FX14" i="20"/>
  <c r="FX18" i="20" s="1"/>
  <c r="FY14" i="20"/>
  <c r="FY18" i="20" s="1"/>
  <c r="FZ14" i="20"/>
  <c r="FZ18" i="20" s="1"/>
  <c r="GA14" i="20"/>
  <c r="GA18" i="20" s="1"/>
  <c r="GB14" i="20"/>
  <c r="GB18" i="20" s="1"/>
  <c r="GC14" i="20"/>
  <c r="GC18" i="20" s="1"/>
  <c r="GD14" i="20"/>
  <c r="GD18" i="20" s="1"/>
  <c r="GE14" i="20"/>
  <c r="GE18" i="20" s="1"/>
  <c r="GF14" i="20"/>
  <c r="GF18" i="20" s="1"/>
  <c r="GG14" i="20"/>
  <c r="GG18" i="20" s="1"/>
  <c r="GH14" i="20"/>
  <c r="GH18" i="20" s="1"/>
  <c r="GI14" i="20"/>
  <c r="GI18" i="20" s="1"/>
  <c r="GJ14" i="20"/>
  <c r="GJ18" i="20" s="1"/>
  <c r="GK14" i="20"/>
  <c r="GK18" i="20" s="1"/>
  <c r="GL14" i="20"/>
  <c r="GL18" i="20" s="1"/>
  <c r="GM14" i="20"/>
  <c r="GM18" i="20" s="1"/>
  <c r="GN14" i="20"/>
  <c r="GN18" i="20" s="1"/>
  <c r="GO14" i="20"/>
  <c r="GO18" i="20" s="1"/>
  <c r="GP14" i="20"/>
  <c r="GP18" i="20" s="1"/>
  <c r="GR14" i="20"/>
  <c r="GR18" i="20" s="1"/>
  <c r="GS14" i="20"/>
  <c r="GS18" i="20" s="1"/>
  <c r="GT14" i="20"/>
  <c r="GT18" i="20" s="1"/>
  <c r="GU14" i="20"/>
  <c r="GU18" i="20" s="1"/>
  <c r="GV14" i="20"/>
  <c r="GV18" i="20" s="1"/>
  <c r="GW14" i="20"/>
  <c r="GW18" i="20" s="1"/>
  <c r="GX14" i="20"/>
  <c r="GX18" i="20" s="1"/>
  <c r="GY14" i="20"/>
  <c r="GY18" i="20" s="1"/>
  <c r="GZ14" i="20"/>
  <c r="GZ18" i="20" s="1"/>
  <c r="HA14" i="20"/>
  <c r="HA18" i="20" s="1"/>
  <c r="HB14" i="20"/>
  <c r="HB18" i="20" s="1"/>
  <c r="HC14" i="20"/>
  <c r="HC18" i="20" s="1"/>
  <c r="HD14" i="20"/>
  <c r="HD18" i="20" s="1"/>
  <c r="HE14" i="20"/>
  <c r="HE18" i="20" s="1"/>
  <c r="HF14" i="20"/>
  <c r="HF18" i="20" s="1"/>
  <c r="HG14" i="20"/>
  <c r="HG18" i="20" s="1"/>
  <c r="HH14" i="20"/>
  <c r="HH18" i="20" s="1"/>
  <c r="HI14" i="20"/>
  <c r="HI18" i="20" s="1"/>
  <c r="HJ14" i="20"/>
  <c r="HJ18" i="20" s="1"/>
  <c r="HK14" i="20"/>
  <c r="HK18" i="20" s="1"/>
  <c r="HL14" i="20"/>
  <c r="HL18" i="20" s="1"/>
  <c r="HM14" i="20"/>
  <c r="HM18" i="20" s="1"/>
  <c r="HN14" i="20"/>
  <c r="HN18" i="20" s="1"/>
  <c r="HO14" i="20"/>
  <c r="HO18" i="20" s="1"/>
  <c r="HP14" i="20"/>
  <c r="HP18" i="20" s="1"/>
  <c r="HQ14" i="20"/>
  <c r="HQ18" i="20" s="1"/>
  <c r="HR14" i="20"/>
  <c r="HR18" i="20" s="1"/>
  <c r="HS14" i="20"/>
  <c r="HS18" i="20" s="1"/>
  <c r="HU14" i="20"/>
  <c r="HU18" i="20" s="1"/>
  <c r="HV14" i="20"/>
  <c r="HV18" i="20" s="1"/>
  <c r="HW14" i="20"/>
  <c r="HW18" i="20" s="1"/>
  <c r="HX14" i="20"/>
  <c r="HX18" i="20" s="1"/>
  <c r="HY14" i="20"/>
  <c r="HY18" i="20" s="1"/>
  <c r="HZ14" i="20"/>
  <c r="HZ18" i="20" s="1"/>
  <c r="IA14" i="20"/>
  <c r="IA18" i="20" s="1"/>
  <c r="IB14" i="20"/>
  <c r="IB18" i="20" s="1"/>
  <c r="IC14" i="20"/>
  <c r="IC18" i="20" s="1"/>
  <c r="ID14" i="20"/>
  <c r="ID18" i="20" s="1"/>
  <c r="IE14" i="20"/>
  <c r="IE18" i="20" s="1"/>
  <c r="IF14" i="20"/>
  <c r="IF18" i="20" s="1"/>
  <c r="IG14" i="20"/>
  <c r="IG18" i="20" s="1"/>
  <c r="IH14" i="20"/>
  <c r="IH18" i="20" s="1"/>
  <c r="II14" i="20"/>
  <c r="II18" i="20" s="1"/>
  <c r="IJ14" i="20"/>
  <c r="IJ18" i="20" s="1"/>
  <c r="IK14" i="20"/>
  <c r="IK18" i="20" s="1"/>
  <c r="IL14" i="20"/>
  <c r="IL18" i="20" s="1"/>
  <c r="IM14" i="20"/>
  <c r="IM18" i="20" s="1"/>
  <c r="IN14" i="20"/>
  <c r="IN18" i="20" s="1"/>
  <c r="IO14" i="20"/>
  <c r="IO18" i="20" s="1"/>
  <c r="IP14" i="20"/>
  <c r="IP18" i="20" s="1"/>
  <c r="IQ14" i="20"/>
  <c r="IQ18" i="20" s="1"/>
  <c r="IR14" i="20"/>
  <c r="IR18" i="20" s="1"/>
  <c r="IS14" i="20"/>
  <c r="IS18" i="20" s="1"/>
  <c r="IT14" i="20"/>
  <c r="IT18" i="20" s="1"/>
  <c r="IV14" i="20"/>
  <c r="IV18" i="20" s="1"/>
  <c r="IW14" i="20"/>
  <c r="IW18" i="20" s="1"/>
  <c r="IX14" i="20"/>
  <c r="IX18" i="20" s="1"/>
  <c r="IY14" i="20"/>
  <c r="IY18" i="20" s="1"/>
  <c r="IZ14" i="20"/>
  <c r="IZ18" i="20" s="1"/>
  <c r="JA14" i="20"/>
  <c r="JA18" i="20" s="1"/>
  <c r="JB14" i="20"/>
  <c r="JB18" i="20" s="1"/>
  <c r="JC14" i="20"/>
  <c r="JC18" i="20" s="1"/>
  <c r="JD14" i="20"/>
  <c r="JD18" i="20" s="1"/>
  <c r="JE14" i="20"/>
  <c r="JE18" i="20" s="1"/>
  <c r="JF14" i="20"/>
  <c r="JF18" i="20" s="1"/>
  <c r="JG14" i="20"/>
  <c r="JG18" i="20" s="1"/>
  <c r="JH14" i="20"/>
  <c r="JH18" i="20" s="1"/>
  <c r="JI14" i="20"/>
  <c r="JI18" i="20" s="1"/>
  <c r="JJ14" i="20"/>
  <c r="JJ18" i="20" s="1"/>
  <c r="JK14" i="20"/>
  <c r="JK18" i="20" s="1"/>
  <c r="JL14" i="20"/>
  <c r="JL18" i="20" s="1"/>
  <c r="JM14" i="20"/>
  <c r="JM18" i="20" s="1"/>
  <c r="JN14" i="20"/>
  <c r="JN18" i="20" s="1"/>
  <c r="JO14" i="20"/>
  <c r="JO18" i="20" s="1"/>
  <c r="JP14" i="20"/>
  <c r="JP18" i="20" s="1"/>
  <c r="JQ14" i="20"/>
  <c r="JQ18" i="20" s="1"/>
  <c r="JR14" i="20"/>
  <c r="JR18" i="20" s="1"/>
  <c r="JS14" i="20"/>
  <c r="JS18" i="20" s="1"/>
  <c r="JT14" i="20"/>
  <c r="JT18" i="20" s="1"/>
  <c r="JU14" i="20"/>
  <c r="JU18" i="20" s="1"/>
  <c r="JV14" i="20"/>
  <c r="JV18" i="20" s="1"/>
  <c r="JX14" i="20"/>
  <c r="JX18" i="20" s="1"/>
  <c r="JY14" i="20"/>
  <c r="JY18" i="20" s="1"/>
  <c r="KA14" i="20"/>
  <c r="KA18" i="20" s="1"/>
  <c r="KB14" i="20"/>
  <c r="KB18" i="20" s="1"/>
  <c r="KC14" i="20"/>
  <c r="KC18" i="20" s="1"/>
  <c r="KD14" i="20"/>
  <c r="KD18" i="20" s="1"/>
  <c r="KE14" i="20"/>
  <c r="KE18" i="20" s="1"/>
  <c r="KG14" i="20"/>
  <c r="KG18" i="20" s="1"/>
  <c r="KH14" i="20"/>
  <c r="KH18" i="20" s="1"/>
  <c r="KI14" i="20"/>
  <c r="KI18" i="20" s="1"/>
  <c r="KJ14" i="20"/>
  <c r="KJ18" i="20" s="1"/>
  <c r="KK14" i="20"/>
  <c r="KK18" i="20" s="1"/>
  <c r="KM14" i="20"/>
  <c r="KM18" i="20" s="1"/>
  <c r="KN14" i="20"/>
  <c r="KN18" i="20" s="1"/>
  <c r="KO14" i="20"/>
  <c r="KO18" i="20" s="1"/>
  <c r="KP14" i="20"/>
  <c r="KP18" i="20" s="1"/>
  <c r="KQ14" i="20"/>
  <c r="KQ18" i="20" s="1"/>
  <c r="KS14" i="20"/>
  <c r="KS18" i="20" s="1"/>
  <c r="KT14" i="20"/>
  <c r="KT18" i="20" s="1"/>
  <c r="KU14" i="20"/>
  <c r="KU18" i="20" s="1"/>
  <c r="KV14" i="20"/>
  <c r="KV18" i="20" s="1"/>
  <c r="KW14" i="20"/>
  <c r="KW18" i="20" s="1"/>
  <c r="KZ14" i="20"/>
  <c r="KZ18" i="20" s="1"/>
  <c r="LA14" i="20"/>
  <c r="LA18" i="20" s="1"/>
  <c r="LB14" i="20"/>
  <c r="LB18" i="20" s="1"/>
  <c r="LC14" i="20"/>
  <c r="LC18" i="20" s="1"/>
  <c r="LD14" i="20"/>
  <c r="LD18" i="20" s="1"/>
  <c r="LF14" i="20"/>
  <c r="LF18" i="20" s="1"/>
  <c r="LG14" i="20"/>
  <c r="LG18" i="20" s="1"/>
  <c r="LH14" i="20"/>
  <c r="LH18" i="20" s="1"/>
  <c r="LI14" i="20"/>
  <c r="LI18" i="20" s="1"/>
  <c r="LJ14" i="20"/>
  <c r="LJ18" i="20" s="1"/>
  <c r="LL14" i="20"/>
  <c r="LL18" i="20" s="1"/>
  <c r="LM14" i="20"/>
  <c r="LM18" i="20" s="1"/>
  <c r="LN14" i="20"/>
  <c r="LN18" i="20" s="1"/>
  <c r="LO14" i="20"/>
  <c r="LO18" i="20" s="1"/>
  <c r="LP14" i="20"/>
  <c r="LP18" i="20" s="1"/>
  <c r="LR14" i="20"/>
  <c r="LR18" i="20" s="1"/>
  <c r="LS14" i="20"/>
  <c r="LS18" i="20" s="1"/>
  <c r="LT14" i="20"/>
  <c r="LT18" i="20" s="1"/>
  <c r="LU14" i="20"/>
  <c r="LU18" i="20" s="1"/>
  <c r="LV14" i="20"/>
  <c r="LV18" i="20" s="1"/>
  <c r="LX14" i="20"/>
  <c r="LX18" i="20" s="1"/>
  <c r="MA14" i="20"/>
  <c r="MA18" i="20" s="1"/>
  <c r="MB14" i="20"/>
  <c r="MB18" i="20" s="1"/>
  <c r="MC14" i="20"/>
  <c r="MC18" i="20" s="1"/>
  <c r="MD14" i="20"/>
  <c r="MD18" i="20" s="1"/>
  <c r="ME14" i="20"/>
  <c r="ME18" i="20" s="1"/>
  <c r="MF14" i="20"/>
  <c r="MF18" i="20" s="1"/>
  <c r="MG14" i="20"/>
  <c r="MG18" i="20" s="1"/>
  <c r="MH14" i="20"/>
  <c r="MH18" i="20" s="1"/>
  <c r="MI14" i="20"/>
  <c r="MI18" i="20" s="1"/>
  <c r="MJ14" i="20"/>
  <c r="MJ18" i="20" s="1"/>
  <c r="MK14" i="20"/>
  <c r="MK18" i="20" s="1"/>
  <c r="ML14" i="20"/>
  <c r="ML18" i="20" s="1"/>
  <c r="MM14" i="20"/>
  <c r="MM18" i="20" s="1"/>
  <c r="MN14" i="20"/>
  <c r="MN18" i="20" s="1"/>
  <c r="MO14" i="20"/>
  <c r="MO18" i="20" s="1"/>
  <c r="MP14" i="20"/>
  <c r="MP18" i="20" s="1"/>
  <c r="MQ14" i="20"/>
  <c r="MQ18" i="20" s="1"/>
  <c r="MR14" i="20"/>
  <c r="MR18" i="20" s="1"/>
  <c r="MS14" i="20"/>
  <c r="MS18" i="20" s="1"/>
  <c r="MT14" i="20"/>
  <c r="MT18" i="20" s="1"/>
  <c r="MU14" i="20"/>
  <c r="MU18" i="20" s="1"/>
  <c r="MV14" i="20"/>
  <c r="MV18" i="20" s="1"/>
  <c r="MW14" i="20"/>
  <c r="MW18" i="20" s="1"/>
  <c r="MX14" i="20"/>
  <c r="MX18" i="20" s="1"/>
  <c r="MY14" i="20"/>
  <c r="MY18" i="20" s="1"/>
  <c r="MZ14" i="20"/>
  <c r="MZ18" i="20" s="1"/>
  <c r="NA14" i="20"/>
  <c r="NA18" i="20" s="1"/>
  <c r="NB14" i="20"/>
  <c r="NB18" i="20" s="1"/>
  <c r="AM14" i="20"/>
  <c r="AM17" i="20" s="1"/>
  <c r="A403" i="4"/>
  <c r="A404" i="4"/>
  <c r="A405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386" i="4"/>
  <c r="A385" i="4"/>
  <c r="AB4" i="22"/>
  <c r="A384" i="4"/>
  <c r="BL19" i="20"/>
  <c r="BL20" i="20" s="1"/>
  <c r="BL13" i="20"/>
  <c r="BL16" i="20" s="1"/>
  <c r="BL12" i="20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L67" i="22"/>
  <c r="L64" i="22"/>
  <c r="L61" i="22"/>
  <c r="L59" i="22"/>
  <c r="L56" i="22"/>
  <c r="L54" i="22"/>
  <c r="L51" i="22"/>
  <c r="L49" i="22"/>
  <c r="L46" i="22"/>
  <c r="L44" i="22"/>
  <c r="L41" i="22"/>
  <c r="L39" i="22"/>
  <c r="L36" i="22"/>
  <c r="L34" i="22"/>
  <c r="L31" i="22"/>
  <c r="L29" i="22"/>
  <c r="L26" i="22"/>
  <c r="L24" i="22"/>
  <c r="L21" i="22"/>
  <c r="L19" i="22"/>
  <c r="L16" i="22"/>
  <c r="L14" i="22"/>
  <c r="L11" i="22"/>
  <c r="L9" i="22"/>
  <c r="L6" i="22"/>
  <c r="L4" i="22"/>
  <c r="AC52" i="22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47" i="4"/>
  <c r="A348" i="4"/>
  <c r="A349" i="4"/>
  <c r="A350" i="4"/>
  <c r="A351" i="4"/>
  <c r="AO19" i="20"/>
  <c r="AO20" i="20" s="1"/>
  <c r="AQ19" i="20"/>
  <c r="AQ20" i="20" s="1"/>
  <c r="AN19" i="20"/>
  <c r="AN20" i="20" s="1"/>
  <c r="AP19" i="20"/>
  <c r="AP20" i="20" s="1"/>
  <c r="AS19" i="20"/>
  <c r="AS20" i="20" s="1"/>
  <c r="AT19" i="20"/>
  <c r="AT20" i="20" s="1"/>
  <c r="AU19" i="20"/>
  <c r="AU20" i="20" s="1"/>
  <c r="AV19" i="20"/>
  <c r="AV20" i="20" s="1"/>
  <c r="AW19" i="20"/>
  <c r="AW20" i="20" s="1"/>
  <c r="AY19" i="20"/>
  <c r="AY20" i="20" s="1"/>
  <c r="AZ19" i="20"/>
  <c r="AZ20" i="20" s="1"/>
  <c r="BA19" i="20"/>
  <c r="BA20" i="20" s="1"/>
  <c r="BB19" i="20"/>
  <c r="BB20" i="20" s="1"/>
  <c r="BC19" i="20"/>
  <c r="BC20" i="20" s="1"/>
  <c r="BE19" i="20"/>
  <c r="BE20" i="20" s="1"/>
  <c r="BF19" i="20"/>
  <c r="BF20" i="20" s="1"/>
  <c r="BG19" i="20"/>
  <c r="BG20" i="20" s="1"/>
  <c r="BH19" i="20"/>
  <c r="BH20" i="20" s="1"/>
  <c r="BI19" i="20"/>
  <c r="BI20" i="20" s="1"/>
  <c r="BM19" i="20"/>
  <c r="BM20" i="20" s="1"/>
  <c r="BN19" i="20"/>
  <c r="BN20" i="20" s="1"/>
  <c r="BO19" i="20"/>
  <c r="BO20" i="20" s="1"/>
  <c r="BP19" i="20"/>
  <c r="BP20" i="20" s="1"/>
  <c r="BR19" i="20"/>
  <c r="BR20" i="20" s="1"/>
  <c r="BS19" i="20"/>
  <c r="BS20" i="20" s="1"/>
  <c r="BT19" i="20"/>
  <c r="BT20" i="20" s="1"/>
  <c r="BU19" i="20"/>
  <c r="BU20" i="20" s="1"/>
  <c r="BV19" i="20"/>
  <c r="BX19" i="20"/>
  <c r="BX20" i="20" s="1"/>
  <c r="BY19" i="20"/>
  <c r="BY20" i="20" s="1"/>
  <c r="BZ19" i="20"/>
  <c r="BZ20" i="20" s="1"/>
  <c r="CA19" i="20"/>
  <c r="CA20" i="20" s="1"/>
  <c r="CB19" i="20"/>
  <c r="CB20" i="20" s="1"/>
  <c r="CD19" i="20"/>
  <c r="CD20" i="20" s="1"/>
  <c r="CE19" i="20"/>
  <c r="CE20" i="20" s="1"/>
  <c r="CF19" i="20"/>
  <c r="CF20" i="20" s="1"/>
  <c r="CG19" i="20"/>
  <c r="CG20" i="20" s="1"/>
  <c r="CH19" i="20"/>
  <c r="CH20" i="20" s="1"/>
  <c r="CK19" i="20"/>
  <c r="CK20" i="20" s="1"/>
  <c r="CL19" i="20"/>
  <c r="CL20" i="20" s="1"/>
  <c r="CM19" i="20"/>
  <c r="CM20" i="20" s="1"/>
  <c r="CN19" i="20"/>
  <c r="CN20" i="20" s="1"/>
  <c r="CO19" i="20"/>
  <c r="CO20" i="20" s="1"/>
  <c r="CP19" i="20"/>
  <c r="CP20" i="20" s="1"/>
  <c r="CQ19" i="20"/>
  <c r="CQ20" i="20" s="1"/>
  <c r="CR19" i="20"/>
  <c r="CR20" i="20" s="1"/>
  <c r="CS19" i="20"/>
  <c r="CS20" i="20" s="1"/>
  <c r="CT19" i="20"/>
  <c r="CT20" i="20" s="1"/>
  <c r="CU19" i="20"/>
  <c r="CU20" i="20" s="1"/>
  <c r="CV19" i="20"/>
  <c r="CV20" i="20" s="1"/>
  <c r="CW19" i="20"/>
  <c r="CW20" i="20" s="1"/>
  <c r="CX19" i="20"/>
  <c r="CX20" i="20" s="1"/>
  <c r="CY19" i="20"/>
  <c r="CY20" i="20" s="1"/>
  <c r="CZ19" i="20"/>
  <c r="CZ20" i="20" s="1"/>
  <c r="DA19" i="20"/>
  <c r="DA20" i="20" s="1"/>
  <c r="DB19" i="20"/>
  <c r="DB20" i="20" s="1"/>
  <c r="DC19" i="20"/>
  <c r="DC20" i="20" s="1"/>
  <c r="DD19" i="20"/>
  <c r="DD20" i="20" s="1"/>
  <c r="DE19" i="20"/>
  <c r="DE20" i="20" s="1"/>
  <c r="DF19" i="20"/>
  <c r="DF20" i="20" s="1"/>
  <c r="DG19" i="20"/>
  <c r="DG20" i="20" s="1"/>
  <c r="DH19" i="20"/>
  <c r="DH20" i="20" s="1"/>
  <c r="DI19" i="20"/>
  <c r="DI20" i="20" s="1"/>
  <c r="DJ19" i="20"/>
  <c r="DJ20" i="20" s="1"/>
  <c r="DK19" i="20"/>
  <c r="DK20" i="20" s="1"/>
  <c r="DL19" i="20"/>
  <c r="DL20" i="20" s="1"/>
  <c r="DM19" i="20"/>
  <c r="DM20" i="20" s="1"/>
  <c r="DN19" i="20"/>
  <c r="DN20" i="20" s="1"/>
  <c r="DO19" i="20"/>
  <c r="DO20" i="20" s="1"/>
  <c r="DP19" i="20"/>
  <c r="DP20" i="20" s="1"/>
  <c r="DQ19" i="20"/>
  <c r="DQ20" i="20" s="1"/>
  <c r="DR19" i="20"/>
  <c r="DR20" i="20" s="1"/>
  <c r="DS19" i="20"/>
  <c r="DS20" i="20" s="1"/>
  <c r="DT19" i="20"/>
  <c r="DT20" i="20" s="1"/>
  <c r="DU19" i="20"/>
  <c r="DU20" i="20" s="1"/>
  <c r="DV19" i="20"/>
  <c r="DV20" i="20" s="1"/>
  <c r="DW19" i="20"/>
  <c r="DW20" i="20" s="1"/>
  <c r="DX19" i="20"/>
  <c r="DX20" i="20" s="1"/>
  <c r="DY19" i="20"/>
  <c r="DY20" i="20" s="1"/>
  <c r="DZ19" i="20"/>
  <c r="DZ20" i="20" s="1"/>
  <c r="EA19" i="20"/>
  <c r="EA20" i="20" s="1"/>
  <c r="EB19" i="20"/>
  <c r="EB20" i="20" s="1"/>
  <c r="EC19" i="20"/>
  <c r="EC20" i="20" s="1"/>
  <c r="ED19" i="20"/>
  <c r="ED20" i="20" s="1"/>
  <c r="EE19" i="20"/>
  <c r="EE20" i="20" s="1"/>
  <c r="EF19" i="20"/>
  <c r="EF20" i="20" s="1"/>
  <c r="EG19" i="20"/>
  <c r="EG20" i="20" s="1"/>
  <c r="EH19" i="20"/>
  <c r="EH20" i="20" s="1"/>
  <c r="EI19" i="20"/>
  <c r="EI20" i="20" s="1"/>
  <c r="EJ19" i="20"/>
  <c r="EJ20" i="20" s="1"/>
  <c r="EK19" i="20"/>
  <c r="EK20" i="20" s="1"/>
  <c r="EL19" i="20"/>
  <c r="EL20" i="20" s="1"/>
  <c r="EM19" i="20"/>
  <c r="EM20" i="20" s="1"/>
  <c r="EN19" i="20"/>
  <c r="EN20" i="20" s="1"/>
  <c r="EO19" i="20"/>
  <c r="EO20" i="20" s="1"/>
  <c r="EP19" i="20"/>
  <c r="EP20" i="20" s="1"/>
  <c r="EQ19" i="20"/>
  <c r="EQ20" i="20" s="1"/>
  <c r="ER19" i="20"/>
  <c r="ER20" i="20" s="1"/>
  <c r="ES19" i="20"/>
  <c r="ES20" i="20" s="1"/>
  <c r="ET19" i="20"/>
  <c r="ET20" i="20" s="1"/>
  <c r="EU19" i="20"/>
  <c r="EU20" i="20" s="1"/>
  <c r="EV19" i="20"/>
  <c r="EV20" i="20" s="1"/>
  <c r="EW19" i="20"/>
  <c r="EW20" i="20" s="1"/>
  <c r="EX19" i="20"/>
  <c r="EX20" i="20" s="1"/>
  <c r="EY19" i="20"/>
  <c r="EY20" i="20" s="1"/>
  <c r="EZ19" i="20"/>
  <c r="EZ20" i="20" s="1"/>
  <c r="FA19" i="20"/>
  <c r="FA20" i="20" s="1"/>
  <c r="FB19" i="20"/>
  <c r="FB20" i="20" s="1"/>
  <c r="FC19" i="20"/>
  <c r="FC20" i="20" s="1"/>
  <c r="FD19" i="20"/>
  <c r="FD20" i="20" s="1"/>
  <c r="FE19" i="20"/>
  <c r="FE20" i="20" s="1"/>
  <c r="FF19" i="20"/>
  <c r="FF20" i="20" s="1"/>
  <c r="FG19" i="20"/>
  <c r="FG20" i="20" s="1"/>
  <c r="FH19" i="20"/>
  <c r="FH20" i="20" s="1"/>
  <c r="FI19" i="20"/>
  <c r="FI20" i="20" s="1"/>
  <c r="FJ19" i="20"/>
  <c r="FJ20" i="20" s="1"/>
  <c r="FK19" i="20"/>
  <c r="FK20" i="20" s="1"/>
  <c r="FL19" i="20"/>
  <c r="FL20" i="20" s="1"/>
  <c r="FM19" i="20"/>
  <c r="FM20" i="20" s="1"/>
  <c r="FN19" i="20"/>
  <c r="FN20" i="20" s="1"/>
  <c r="FO19" i="20"/>
  <c r="FO20" i="20" s="1"/>
  <c r="FP19" i="20"/>
  <c r="FP20" i="20" s="1"/>
  <c r="FQ19" i="20"/>
  <c r="FQ20" i="20" s="1"/>
  <c r="FR19" i="20"/>
  <c r="FR20" i="20" s="1"/>
  <c r="FS19" i="20"/>
  <c r="FS20" i="20" s="1"/>
  <c r="FT19" i="20"/>
  <c r="FT20" i="20" s="1"/>
  <c r="FU19" i="20"/>
  <c r="FU20" i="20" s="1"/>
  <c r="FV19" i="20"/>
  <c r="FV20" i="20" s="1"/>
  <c r="FW19" i="20"/>
  <c r="FW20" i="20" s="1"/>
  <c r="FX19" i="20"/>
  <c r="FX20" i="20" s="1"/>
  <c r="FY19" i="20"/>
  <c r="FY20" i="20" s="1"/>
  <c r="FZ19" i="20"/>
  <c r="FZ20" i="20" s="1"/>
  <c r="GA19" i="20"/>
  <c r="GA20" i="20" s="1"/>
  <c r="GB19" i="20"/>
  <c r="GB20" i="20" s="1"/>
  <c r="GC19" i="20"/>
  <c r="GC20" i="20" s="1"/>
  <c r="GD19" i="20"/>
  <c r="GD20" i="20" s="1"/>
  <c r="GE19" i="20"/>
  <c r="GE20" i="20" s="1"/>
  <c r="GF19" i="20"/>
  <c r="GF20" i="20" s="1"/>
  <c r="GG19" i="20"/>
  <c r="GG20" i="20" s="1"/>
  <c r="GH19" i="20"/>
  <c r="GH20" i="20" s="1"/>
  <c r="GI19" i="20"/>
  <c r="GI20" i="20" s="1"/>
  <c r="GJ19" i="20"/>
  <c r="GJ20" i="20" s="1"/>
  <c r="GK19" i="20"/>
  <c r="GK20" i="20" s="1"/>
  <c r="GL19" i="20"/>
  <c r="GL20" i="20" s="1"/>
  <c r="GM19" i="20"/>
  <c r="GM20" i="20" s="1"/>
  <c r="GN19" i="20"/>
  <c r="GN20" i="20" s="1"/>
  <c r="GO19" i="20"/>
  <c r="GO20" i="20" s="1"/>
  <c r="GP19" i="20"/>
  <c r="GP20" i="20" s="1"/>
  <c r="GQ19" i="20"/>
  <c r="GQ20" i="20" s="1"/>
  <c r="GR19" i="20"/>
  <c r="GR20" i="20" s="1"/>
  <c r="GS19" i="20"/>
  <c r="GS20" i="20" s="1"/>
  <c r="GT19" i="20"/>
  <c r="GT20" i="20" s="1"/>
  <c r="GU19" i="20"/>
  <c r="GU20" i="20" s="1"/>
  <c r="GV19" i="20"/>
  <c r="GV20" i="20" s="1"/>
  <c r="GW19" i="20"/>
  <c r="GW20" i="20" s="1"/>
  <c r="GX19" i="20"/>
  <c r="GX20" i="20" s="1"/>
  <c r="GY19" i="20"/>
  <c r="GY20" i="20" s="1"/>
  <c r="GZ19" i="20"/>
  <c r="GZ20" i="20" s="1"/>
  <c r="HA19" i="20"/>
  <c r="HA20" i="20" s="1"/>
  <c r="HB19" i="20"/>
  <c r="HB20" i="20" s="1"/>
  <c r="HC19" i="20"/>
  <c r="HC20" i="20" s="1"/>
  <c r="HD19" i="20"/>
  <c r="HD20" i="20" s="1"/>
  <c r="HE19" i="20"/>
  <c r="HE20" i="20" s="1"/>
  <c r="HF19" i="20"/>
  <c r="HF20" i="20" s="1"/>
  <c r="HG19" i="20"/>
  <c r="HG20" i="20" s="1"/>
  <c r="HH19" i="20"/>
  <c r="HH20" i="20" s="1"/>
  <c r="HI19" i="20"/>
  <c r="HI20" i="20" s="1"/>
  <c r="HJ19" i="20"/>
  <c r="HJ20" i="20" s="1"/>
  <c r="HK19" i="20"/>
  <c r="HK20" i="20" s="1"/>
  <c r="HL19" i="20"/>
  <c r="HL20" i="20" s="1"/>
  <c r="HM19" i="20"/>
  <c r="HM20" i="20" s="1"/>
  <c r="HN19" i="20"/>
  <c r="HN20" i="20" s="1"/>
  <c r="HO19" i="20"/>
  <c r="HO20" i="20" s="1"/>
  <c r="HP19" i="20"/>
  <c r="HP20" i="20" s="1"/>
  <c r="HQ19" i="20"/>
  <c r="HQ20" i="20" s="1"/>
  <c r="HR19" i="20"/>
  <c r="HR20" i="20" s="1"/>
  <c r="HS19" i="20"/>
  <c r="HS20" i="20" s="1"/>
  <c r="HT19" i="20"/>
  <c r="HT20" i="20" s="1"/>
  <c r="HU19" i="20"/>
  <c r="HU20" i="20" s="1"/>
  <c r="HV19" i="20"/>
  <c r="HV20" i="20" s="1"/>
  <c r="HW19" i="20"/>
  <c r="HW20" i="20" s="1"/>
  <c r="HX19" i="20"/>
  <c r="HX20" i="20" s="1"/>
  <c r="HY19" i="20"/>
  <c r="HY20" i="20" s="1"/>
  <c r="HZ19" i="20"/>
  <c r="HZ20" i="20" s="1"/>
  <c r="IA19" i="20"/>
  <c r="IA20" i="20" s="1"/>
  <c r="IB19" i="20"/>
  <c r="IB20" i="20" s="1"/>
  <c r="IC19" i="20"/>
  <c r="IC20" i="20" s="1"/>
  <c r="ID19" i="20"/>
  <c r="ID20" i="20" s="1"/>
  <c r="IE19" i="20"/>
  <c r="IE20" i="20" s="1"/>
  <c r="IF19" i="20"/>
  <c r="IF20" i="20" s="1"/>
  <c r="IG19" i="20"/>
  <c r="IG20" i="20" s="1"/>
  <c r="IH19" i="20"/>
  <c r="IH20" i="20" s="1"/>
  <c r="II19" i="20"/>
  <c r="II20" i="20" s="1"/>
  <c r="IJ19" i="20"/>
  <c r="IJ20" i="20" s="1"/>
  <c r="IK19" i="20"/>
  <c r="IK20" i="20" s="1"/>
  <c r="IL19" i="20"/>
  <c r="IL20" i="20" s="1"/>
  <c r="IM19" i="20"/>
  <c r="IM20" i="20" s="1"/>
  <c r="IN19" i="20"/>
  <c r="IN20" i="20" s="1"/>
  <c r="IO19" i="20"/>
  <c r="IO20" i="20" s="1"/>
  <c r="IP19" i="20"/>
  <c r="IP20" i="20" s="1"/>
  <c r="IQ19" i="20"/>
  <c r="IQ20" i="20" s="1"/>
  <c r="IR19" i="20"/>
  <c r="IR20" i="20" s="1"/>
  <c r="IS19" i="20"/>
  <c r="IS20" i="20" s="1"/>
  <c r="IT19" i="20"/>
  <c r="IT20" i="20" s="1"/>
  <c r="IU19" i="20"/>
  <c r="IU20" i="20" s="1"/>
  <c r="IV19" i="20"/>
  <c r="IV20" i="20" s="1"/>
  <c r="IW19" i="20"/>
  <c r="IW20" i="20" s="1"/>
  <c r="IX19" i="20"/>
  <c r="IX20" i="20" s="1"/>
  <c r="IY19" i="20"/>
  <c r="IY20" i="20" s="1"/>
  <c r="IZ19" i="20"/>
  <c r="IZ20" i="20" s="1"/>
  <c r="JA19" i="20"/>
  <c r="JA20" i="20" s="1"/>
  <c r="JB19" i="20"/>
  <c r="JB20" i="20" s="1"/>
  <c r="JC19" i="20"/>
  <c r="JC20" i="20" s="1"/>
  <c r="JD19" i="20"/>
  <c r="JD20" i="20" s="1"/>
  <c r="JE19" i="20"/>
  <c r="JE20" i="20" s="1"/>
  <c r="JF19" i="20"/>
  <c r="JF20" i="20" s="1"/>
  <c r="JG19" i="20"/>
  <c r="JG20" i="20" s="1"/>
  <c r="JH19" i="20"/>
  <c r="JH20" i="20" s="1"/>
  <c r="JI19" i="20"/>
  <c r="JI20" i="20" s="1"/>
  <c r="JJ19" i="20"/>
  <c r="JJ20" i="20" s="1"/>
  <c r="JK19" i="20"/>
  <c r="JK20" i="20" s="1"/>
  <c r="JL19" i="20"/>
  <c r="JL20" i="20" s="1"/>
  <c r="JM19" i="20"/>
  <c r="JM20" i="20" s="1"/>
  <c r="JN19" i="20"/>
  <c r="JN20" i="20" s="1"/>
  <c r="JO19" i="20"/>
  <c r="JO20" i="20" s="1"/>
  <c r="JP19" i="20"/>
  <c r="JP20" i="20" s="1"/>
  <c r="JQ19" i="20"/>
  <c r="JQ20" i="20" s="1"/>
  <c r="JR19" i="20"/>
  <c r="JR20" i="20" s="1"/>
  <c r="JS19" i="20"/>
  <c r="JS20" i="20" s="1"/>
  <c r="JT19" i="20"/>
  <c r="JT20" i="20" s="1"/>
  <c r="JU19" i="20"/>
  <c r="JU20" i="20" s="1"/>
  <c r="JV19" i="20"/>
  <c r="JV20" i="20" s="1"/>
  <c r="JW19" i="20"/>
  <c r="JW20" i="20" s="1"/>
  <c r="JX19" i="20"/>
  <c r="JX20" i="20" s="1"/>
  <c r="JY19" i="20"/>
  <c r="JY20" i="20" s="1"/>
  <c r="KA19" i="20"/>
  <c r="KA20" i="20" s="1"/>
  <c r="KB19" i="20"/>
  <c r="KB20" i="20" s="1"/>
  <c r="KC19" i="20"/>
  <c r="KC20" i="20" s="1"/>
  <c r="KD19" i="20"/>
  <c r="KD20" i="20" s="1"/>
  <c r="KE19" i="20"/>
  <c r="KE20" i="20" s="1"/>
  <c r="KG19" i="20"/>
  <c r="KG20" i="20" s="1"/>
  <c r="KH19" i="20"/>
  <c r="KH20" i="20" s="1"/>
  <c r="KI19" i="20"/>
  <c r="KI20" i="20" s="1"/>
  <c r="KJ19" i="20"/>
  <c r="KJ20" i="20" s="1"/>
  <c r="KK19" i="20"/>
  <c r="KK20" i="20" s="1"/>
  <c r="KM19" i="20"/>
  <c r="KM20" i="20" s="1"/>
  <c r="KN19" i="20"/>
  <c r="KN20" i="20" s="1"/>
  <c r="KO19" i="20"/>
  <c r="KO20" i="20" s="1"/>
  <c r="KP19" i="20"/>
  <c r="KP20" i="20" s="1"/>
  <c r="KQ19" i="20"/>
  <c r="KQ20" i="20" s="1"/>
  <c r="KS19" i="20"/>
  <c r="KS20" i="20" s="1"/>
  <c r="KT19" i="20"/>
  <c r="KT20" i="20" s="1"/>
  <c r="KU19" i="20"/>
  <c r="KU20" i="20" s="1"/>
  <c r="KV19" i="20"/>
  <c r="KV20" i="20" s="1"/>
  <c r="KW19" i="20"/>
  <c r="KW20" i="20" s="1"/>
  <c r="KY19" i="20"/>
  <c r="KY20" i="20" s="1"/>
  <c r="KZ19" i="20"/>
  <c r="KZ20" i="20" s="1"/>
  <c r="LA19" i="20"/>
  <c r="LA20" i="20" s="1"/>
  <c r="LB19" i="20"/>
  <c r="LB20" i="20" s="1"/>
  <c r="LC19" i="20"/>
  <c r="LC20" i="20" s="1"/>
  <c r="LD19" i="20"/>
  <c r="LD20" i="20" s="1"/>
  <c r="LF19" i="20"/>
  <c r="LF20" i="20" s="1"/>
  <c r="LG19" i="20"/>
  <c r="LG20" i="20" s="1"/>
  <c r="LH19" i="20"/>
  <c r="LH20" i="20" s="1"/>
  <c r="LI19" i="20"/>
  <c r="LI20" i="20" s="1"/>
  <c r="LJ19" i="20"/>
  <c r="LJ20" i="20" s="1"/>
  <c r="LL19" i="20"/>
  <c r="LL20" i="20" s="1"/>
  <c r="LM19" i="20"/>
  <c r="LM20" i="20" s="1"/>
  <c r="LN19" i="20"/>
  <c r="LN20" i="20" s="1"/>
  <c r="LO19" i="20"/>
  <c r="LO20" i="20" s="1"/>
  <c r="LP19" i="20"/>
  <c r="LP20" i="20" s="1"/>
  <c r="LR19" i="20"/>
  <c r="LR20" i="20" s="1"/>
  <c r="LS19" i="20"/>
  <c r="LS20" i="20" s="1"/>
  <c r="LT19" i="20"/>
  <c r="LT20" i="20" s="1"/>
  <c r="LU19" i="20"/>
  <c r="LU20" i="20" s="1"/>
  <c r="LV19" i="20"/>
  <c r="LV20" i="20" s="1"/>
  <c r="LX19" i="20"/>
  <c r="LX20" i="20" s="1"/>
  <c r="LZ19" i="20"/>
  <c r="LZ20" i="20" s="1"/>
  <c r="MA19" i="20"/>
  <c r="MA20" i="20" s="1"/>
  <c r="MB19" i="20"/>
  <c r="MB20" i="20" s="1"/>
  <c r="MC19" i="20"/>
  <c r="MC20" i="20" s="1"/>
  <c r="MD19" i="20"/>
  <c r="MD20" i="20" s="1"/>
  <c r="ME19" i="20"/>
  <c r="ME20" i="20" s="1"/>
  <c r="MF19" i="20"/>
  <c r="MF20" i="20" s="1"/>
  <c r="MG19" i="20"/>
  <c r="MG20" i="20" s="1"/>
  <c r="MH19" i="20"/>
  <c r="MH20" i="20" s="1"/>
  <c r="MI19" i="20"/>
  <c r="MI20" i="20" s="1"/>
  <c r="MJ19" i="20"/>
  <c r="MJ20" i="20" s="1"/>
  <c r="MK19" i="20"/>
  <c r="MK20" i="20" s="1"/>
  <c r="ML19" i="20"/>
  <c r="ML20" i="20" s="1"/>
  <c r="MM19" i="20"/>
  <c r="MM20" i="20" s="1"/>
  <c r="MN19" i="20"/>
  <c r="MN20" i="20" s="1"/>
  <c r="MO19" i="20"/>
  <c r="MO20" i="20" s="1"/>
  <c r="MP19" i="20"/>
  <c r="MQ19" i="20"/>
  <c r="MQ20" i="20" s="1"/>
  <c r="MR19" i="20"/>
  <c r="MR20" i="20" s="1"/>
  <c r="MS19" i="20"/>
  <c r="MS20" i="20" s="1"/>
  <c r="MT19" i="20"/>
  <c r="MT20" i="20" s="1"/>
  <c r="MU19" i="20"/>
  <c r="MU20" i="20" s="1"/>
  <c r="MV19" i="20"/>
  <c r="MV20" i="20" s="1"/>
  <c r="MW19" i="20"/>
  <c r="MW20" i="20" s="1"/>
  <c r="MX19" i="20"/>
  <c r="MX20" i="20" s="1"/>
  <c r="MY19" i="20"/>
  <c r="MY20" i="20" s="1"/>
  <c r="MZ19" i="20"/>
  <c r="MZ20" i="20" s="1"/>
  <c r="NA19" i="20"/>
  <c r="NA20" i="20" s="1"/>
  <c r="NB19" i="20"/>
  <c r="NB20" i="20" s="1"/>
  <c r="NC19" i="20"/>
  <c r="NC20" i="20" s="1"/>
  <c r="BV20" i="20"/>
  <c r="MP20" i="20"/>
  <c r="AM19" i="20"/>
  <c r="AM20" i="20" s="1"/>
  <c r="BR15" i="20"/>
  <c r="BR17" i="20" s="1"/>
  <c r="BS15" i="20"/>
  <c r="BS17" i="20" s="1"/>
  <c r="BT15" i="20"/>
  <c r="BT17" i="20" s="1"/>
  <c r="BU15" i="20"/>
  <c r="BU17" i="20" s="1"/>
  <c r="BV15" i="20"/>
  <c r="BV17" i="20" s="1"/>
  <c r="BX15" i="20"/>
  <c r="BX17" i="20" s="1"/>
  <c r="BY15" i="20"/>
  <c r="BY17" i="20" s="1"/>
  <c r="BZ15" i="20"/>
  <c r="BZ17" i="20" s="1"/>
  <c r="CA15" i="20"/>
  <c r="CA17" i="20" s="1"/>
  <c r="CB15" i="20"/>
  <c r="CB17" i="20" s="1"/>
  <c r="CD15" i="20"/>
  <c r="CD17" i="20" s="1"/>
  <c r="CE15" i="20"/>
  <c r="CE17" i="20" s="1"/>
  <c r="CF15" i="20"/>
  <c r="CF17" i="20" s="1"/>
  <c r="CG15" i="20"/>
  <c r="CG17" i="20" s="1"/>
  <c r="CH15" i="20"/>
  <c r="CH17" i="20" s="1"/>
  <c r="CK15" i="20"/>
  <c r="CK17" i="20" s="1"/>
  <c r="CL15" i="20"/>
  <c r="CL17" i="20" s="1"/>
  <c r="CM15" i="20"/>
  <c r="CM17" i="20" s="1"/>
  <c r="CN15" i="20"/>
  <c r="CN17" i="20" s="1"/>
  <c r="CO15" i="20"/>
  <c r="CO17" i="20" s="1"/>
  <c r="CP15" i="20"/>
  <c r="CP17" i="20" s="1"/>
  <c r="CQ15" i="20"/>
  <c r="CQ17" i="20" s="1"/>
  <c r="CR15" i="20"/>
  <c r="CR17" i="20" s="1"/>
  <c r="CS15" i="20"/>
  <c r="CS17" i="20" s="1"/>
  <c r="CT15" i="20"/>
  <c r="CT17" i="20" s="1"/>
  <c r="CU15" i="20"/>
  <c r="CU17" i="20" s="1"/>
  <c r="CV15" i="20"/>
  <c r="CV17" i="20" s="1"/>
  <c r="CW15" i="20"/>
  <c r="CW17" i="20" s="1"/>
  <c r="CX15" i="20"/>
  <c r="CX17" i="20" s="1"/>
  <c r="CY15" i="20"/>
  <c r="CY17" i="20" s="1"/>
  <c r="CZ15" i="20"/>
  <c r="CZ17" i="20" s="1"/>
  <c r="DA15" i="20"/>
  <c r="DA17" i="20" s="1"/>
  <c r="DB15" i="20"/>
  <c r="DB17" i="20" s="1"/>
  <c r="DC15" i="20"/>
  <c r="DC17" i="20" s="1"/>
  <c r="DD15" i="20"/>
  <c r="DD17" i="20" s="1"/>
  <c r="DE15" i="20"/>
  <c r="DE17" i="20" s="1"/>
  <c r="DF15" i="20"/>
  <c r="DF17" i="20" s="1"/>
  <c r="DG15" i="20"/>
  <c r="DG17" i="20" s="1"/>
  <c r="DH15" i="20"/>
  <c r="DH17" i="20" s="1"/>
  <c r="DI15" i="20"/>
  <c r="DI17" i="20" s="1"/>
  <c r="DJ15" i="20"/>
  <c r="DJ17" i="20" s="1"/>
  <c r="DK15" i="20"/>
  <c r="DK17" i="20" s="1"/>
  <c r="DL15" i="20"/>
  <c r="DL17" i="20" s="1"/>
  <c r="DM15" i="20"/>
  <c r="DM17" i="20" s="1"/>
  <c r="DN15" i="20"/>
  <c r="DN17" i="20" s="1"/>
  <c r="DO15" i="20"/>
  <c r="DO17" i="20" s="1"/>
  <c r="DP15" i="20"/>
  <c r="DP17" i="20" s="1"/>
  <c r="DQ15" i="20"/>
  <c r="DQ17" i="20" s="1"/>
  <c r="DR15" i="20"/>
  <c r="DR17" i="20" s="1"/>
  <c r="DS15" i="20"/>
  <c r="DS17" i="20" s="1"/>
  <c r="DT15" i="20"/>
  <c r="DT17" i="20" s="1"/>
  <c r="DU15" i="20"/>
  <c r="DU17" i="20" s="1"/>
  <c r="DV15" i="20"/>
  <c r="DV17" i="20" s="1"/>
  <c r="DW15" i="20"/>
  <c r="DW17" i="20" s="1"/>
  <c r="DX15" i="20"/>
  <c r="DX17" i="20" s="1"/>
  <c r="DY15" i="20"/>
  <c r="DY17" i="20" s="1"/>
  <c r="DZ15" i="20"/>
  <c r="DZ17" i="20" s="1"/>
  <c r="EA15" i="20"/>
  <c r="EA17" i="20" s="1"/>
  <c r="EB15" i="20"/>
  <c r="EB17" i="20" s="1"/>
  <c r="EC15" i="20"/>
  <c r="EC17" i="20" s="1"/>
  <c r="ED15" i="20"/>
  <c r="ED17" i="20" s="1"/>
  <c r="EE15" i="20"/>
  <c r="EE17" i="20" s="1"/>
  <c r="EF15" i="20"/>
  <c r="EF17" i="20" s="1"/>
  <c r="EG15" i="20"/>
  <c r="EG17" i="20" s="1"/>
  <c r="EH15" i="20"/>
  <c r="EH17" i="20" s="1"/>
  <c r="EI15" i="20"/>
  <c r="EI17" i="20" s="1"/>
  <c r="EJ15" i="20"/>
  <c r="EJ17" i="20" s="1"/>
  <c r="EK15" i="20"/>
  <c r="EK17" i="20" s="1"/>
  <c r="EL15" i="20"/>
  <c r="EL17" i="20" s="1"/>
  <c r="EM15" i="20"/>
  <c r="EM17" i="20" s="1"/>
  <c r="EN15" i="20"/>
  <c r="EN17" i="20" s="1"/>
  <c r="EO15" i="20"/>
  <c r="EO17" i="20" s="1"/>
  <c r="EP15" i="20"/>
  <c r="EP17" i="20" s="1"/>
  <c r="EQ15" i="20"/>
  <c r="EQ17" i="20" s="1"/>
  <c r="ER15" i="20"/>
  <c r="ER17" i="20" s="1"/>
  <c r="ES15" i="20"/>
  <c r="ES17" i="20" s="1"/>
  <c r="ET15" i="20"/>
  <c r="ET17" i="20" s="1"/>
  <c r="EU15" i="20"/>
  <c r="EU17" i="20" s="1"/>
  <c r="EV15" i="20"/>
  <c r="EV17" i="20" s="1"/>
  <c r="EW15" i="20"/>
  <c r="EW17" i="20" s="1"/>
  <c r="EX15" i="20"/>
  <c r="EX17" i="20" s="1"/>
  <c r="EY15" i="20"/>
  <c r="EY17" i="20" s="1"/>
  <c r="EZ15" i="20"/>
  <c r="EZ17" i="20" s="1"/>
  <c r="FA15" i="20"/>
  <c r="FA17" i="20" s="1"/>
  <c r="FB15" i="20"/>
  <c r="FB17" i="20" s="1"/>
  <c r="FC15" i="20"/>
  <c r="FC17" i="20" s="1"/>
  <c r="FD15" i="20"/>
  <c r="FD17" i="20" s="1"/>
  <c r="FE15" i="20"/>
  <c r="FE17" i="20" s="1"/>
  <c r="FF15" i="20"/>
  <c r="FF17" i="20" s="1"/>
  <c r="FG15" i="20"/>
  <c r="FG17" i="20" s="1"/>
  <c r="FH15" i="20"/>
  <c r="FH17" i="20" s="1"/>
  <c r="FI15" i="20"/>
  <c r="FI17" i="20" s="1"/>
  <c r="FJ15" i="20"/>
  <c r="FJ17" i="20" s="1"/>
  <c r="FK15" i="20"/>
  <c r="FK17" i="20" s="1"/>
  <c r="FL15" i="20"/>
  <c r="FL17" i="20" s="1"/>
  <c r="FM15" i="20"/>
  <c r="FM17" i="20" s="1"/>
  <c r="FN15" i="20"/>
  <c r="FN17" i="20" s="1"/>
  <c r="FO15" i="20"/>
  <c r="FO17" i="20" s="1"/>
  <c r="FP15" i="20"/>
  <c r="FP17" i="20" s="1"/>
  <c r="FQ15" i="20"/>
  <c r="FQ17" i="20" s="1"/>
  <c r="FR15" i="20"/>
  <c r="FR17" i="20" s="1"/>
  <c r="FS15" i="20"/>
  <c r="FS17" i="20" s="1"/>
  <c r="FT15" i="20"/>
  <c r="FT17" i="20" s="1"/>
  <c r="FU15" i="20"/>
  <c r="FU17" i="20" s="1"/>
  <c r="FV15" i="20"/>
  <c r="FV17" i="20" s="1"/>
  <c r="FW15" i="20"/>
  <c r="FW17" i="20" s="1"/>
  <c r="FX15" i="20"/>
  <c r="FX17" i="20" s="1"/>
  <c r="FY15" i="20"/>
  <c r="FY17" i="20" s="1"/>
  <c r="FZ15" i="20"/>
  <c r="FZ17" i="20" s="1"/>
  <c r="GA15" i="20"/>
  <c r="GA17" i="20" s="1"/>
  <c r="GB15" i="20"/>
  <c r="GB17" i="20" s="1"/>
  <c r="GC15" i="20"/>
  <c r="GC17" i="20" s="1"/>
  <c r="GD15" i="20"/>
  <c r="GD17" i="20" s="1"/>
  <c r="GE15" i="20"/>
  <c r="GE17" i="20" s="1"/>
  <c r="GF15" i="20"/>
  <c r="GF17" i="20" s="1"/>
  <c r="GG15" i="20"/>
  <c r="GG17" i="20" s="1"/>
  <c r="GH15" i="20"/>
  <c r="GH17" i="20" s="1"/>
  <c r="GI15" i="20"/>
  <c r="GI17" i="20" s="1"/>
  <c r="GJ15" i="20"/>
  <c r="GJ17" i="20" s="1"/>
  <c r="GK15" i="20"/>
  <c r="GK17" i="20" s="1"/>
  <c r="GL15" i="20"/>
  <c r="GL17" i="20" s="1"/>
  <c r="GM15" i="20"/>
  <c r="GM17" i="20" s="1"/>
  <c r="GN15" i="20"/>
  <c r="GN17" i="20" s="1"/>
  <c r="GO15" i="20"/>
  <c r="GO17" i="20" s="1"/>
  <c r="GP15" i="20"/>
  <c r="GP17" i="20" s="1"/>
  <c r="GQ15" i="20"/>
  <c r="GQ17" i="20" s="1"/>
  <c r="GR15" i="20"/>
  <c r="GR17" i="20" s="1"/>
  <c r="GS15" i="20"/>
  <c r="GS17" i="20" s="1"/>
  <c r="GT15" i="20"/>
  <c r="GT17" i="20" s="1"/>
  <c r="GU15" i="20"/>
  <c r="GU17" i="20" s="1"/>
  <c r="GV15" i="20"/>
  <c r="GV17" i="20" s="1"/>
  <c r="GW15" i="20"/>
  <c r="GW17" i="20" s="1"/>
  <c r="GX15" i="20"/>
  <c r="GX17" i="20" s="1"/>
  <c r="GY15" i="20"/>
  <c r="GY17" i="20" s="1"/>
  <c r="GZ15" i="20"/>
  <c r="GZ17" i="20" s="1"/>
  <c r="HA15" i="20"/>
  <c r="HA17" i="20" s="1"/>
  <c r="HB15" i="20"/>
  <c r="HB17" i="20" s="1"/>
  <c r="HC15" i="20"/>
  <c r="HC17" i="20" s="1"/>
  <c r="HD15" i="20"/>
  <c r="HD17" i="20" s="1"/>
  <c r="HE15" i="20"/>
  <c r="HE17" i="20" s="1"/>
  <c r="HF15" i="20"/>
  <c r="HF17" i="20" s="1"/>
  <c r="HG15" i="20"/>
  <c r="HG17" i="20" s="1"/>
  <c r="HH15" i="20"/>
  <c r="HH17" i="20" s="1"/>
  <c r="HI15" i="20"/>
  <c r="HI17" i="20" s="1"/>
  <c r="HJ15" i="20"/>
  <c r="HJ17" i="20" s="1"/>
  <c r="HK15" i="20"/>
  <c r="HK17" i="20" s="1"/>
  <c r="HL15" i="20"/>
  <c r="HL17" i="20" s="1"/>
  <c r="HM15" i="20"/>
  <c r="HM17" i="20" s="1"/>
  <c r="HN15" i="20"/>
  <c r="HN17" i="20" s="1"/>
  <c r="HO15" i="20"/>
  <c r="HO17" i="20" s="1"/>
  <c r="HP15" i="20"/>
  <c r="HP17" i="20" s="1"/>
  <c r="HQ15" i="20"/>
  <c r="HQ17" i="20" s="1"/>
  <c r="HR15" i="20"/>
  <c r="HR17" i="20" s="1"/>
  <c r="HS15" i="20"/>
  <c r="HS17" i="20" s="1"/>
  <c r="HT15" i="20"/>
  <c r="HT17" i="20" s="1"/>
  <c r="HU15" i="20"/>
  <c r="HU17" i="20" s="1"/>
  <c r="HV15" i="20"/>
  <c r="HV17" i="20" s="1"/>
  <c r="HW15" i="20"/>
  <c r="HW17" i="20" s="1"/>
  <c r="HX15" i="20"/>
  <c r="HX17" i="20" s="1"/>
  <c r="HY15" i="20"/>
  <c r="HY17" i="20" s="1"/>
  <c r="HZ15" i="20"/>
  <c r="HZ17" i="20" s="1"/>
  <c r="IA15" i="20"/>
  <c r="IA17" i="20" s="1"/>
  <c r="IB15" i="20"/>
  <c r="IB17" i="20" s="1"/>
  <c r="IC15" i="20"/>
  <c r="IC17" i="20" s="1"/>
  <c r="ID15" i="20"/>
  <c r="ID17" i="20" s="1"/>
  <c r="IE15" i="20"/>
  <c r="IE17" i="20" s="1"/>
  <c r="IF15" i="20"/>
  <c r="IF17" i="20" s="1"/>
  <c r="IG15" i="20"/>
  <c r="IG17" i="20" s="1"/>
  <c r="IH15" i="20"/>
  <c r="IH17" i="20" s="1"/>
  <c r="II15" i="20"/>
  <c r="II17" i="20" s="1"/>
  <c r="IJ15" i="20"/>
  <c r="IJ17" i="20" s="1"/>
  <c r="IK15" i="20"/>
  <c r="IK17" i="20" s="1"/>
  <c r="IL15" i="20"/>
  <c r="IL17" i="20" s="1"/>
  <c r="IM15" i="20"/>
  <c r="IM17" i="20" s="1"/>
  <c r="IN15" i="20"/>
  <c r="IN17" i="20" s="1"/>
  <c r="IO15" i="20"/>
  <c r="IO17" i="20" s="1"/>
  <c r="IP15" i="20"/>
  <c r="IP17" i="20" s="1"/>
  <c r="IQ15" i="20"/>
  <c r="IQ17" i="20" s="1"/>
  <c r="IR15" i="20"/>
  <c r="IR17" i="20" s="1"/>
  <c r="IS15" i="20"/>
  <c r="IS17" i="20" s="1"/>
  <c r="IT15" i="20"/>
  <c r="IT17" i="20" s="1"/>
  <c r="IU15" i="20"/>
  <c r="IU17" i="20" s="1"/>
  <c r="IV15" i="20"/>
  <c r="IV17" i="20" s="1"/>
  <c r="IW15" i="20"/>
  <c r="IW17" i="20" s="1"/>
  <c r="IX15" i="20"/>
  <c r="IX17" i="20" s="1"/>
  <c r="IY15" i="20"/>
  <c r="IY17" i="20" s="1"/>
  <c r="IZ15" i="20"/>
  <c r="IZ17" i="20" s="1"/>
  <c r="JA15" i="20"/>
  <c r="JA17" i="20" s="1"/>
  <c r="JB15" i="20"/>
  <c r="JB17" i="20" s="1"/>
  <c r="JC15" i="20"/>
  <c r="JC17" i="20" s="1"/>
  <c r="JD15" i="20"/>
  <c r="JD17" i="20" s="1"/>
  <c r="JE15" i="20"/>
  <c r="JE17" i="20" s="1"/>
  <c r="JF15" i="20"/>
  <c r="JF17" i="20" s="1"/>
  <c r="JG15" i="20"/>
  <c r="JG17" i="20" s="1"/>
  <c r="JH15" i="20"/>
  <c r="JH17" i="20" s="1"/>
  <c r="JI15" i="20"/>
  <c r="JI17" i="20" s="1"/>
  <c r="JJ15" i="20"/>
  <c r="JJ17" i="20" s="1"/>
  <c r="JK15" i="20"/>
  <c r="JK17" i="20" s="1"/>
  <c r="JL15" i="20"/>
  <c r="JL17" i="20" s="1"/>
  <c r="JM15" i="20"/>
  <c r="JM17" i="20" s="1"/>
  <c r="JN15" i="20"/>
  <c r="JN17" i="20" s="1"/>
  <c r="JO15" i="20"/>
  <c r="JO17" i="20" s="1"/>
  <c r="JP15" i="20"/>
  <c r="JP17" i="20" s="1"/>
  <c r="JQ15" i="20"/>
  <c r="JQ17" i="20" s="1"/>
  <c r="JR15" i="20"/>
  <c r="JR17" i="20" s="1"/>
  <c r="JS15" i="20"/>
  <c r="JS17" i="20" s="1"/>
  <c r="JT15" i="20"/>
  <c r="JT17" i="20" s="1"/>
  <c r="JU15" i="20"/>
  <c r="JU17" i="20" s="1"/>
  <c r="JV15" i="20"/>
  <c r="JV17" i="20" s="1"/>
  <c r="JW15" i="20"/>
  <c r="JW17" i="20" s="1"/>
  <c r="JX15" i="20"/>
  <c r="JX17" i="20" s="1"/>
  <c r="JY15" i="20"/>
  <c r="JY17" i="20" s="1"/>
  <c r="KA15" i="20"/>
  <c r="KA17" i="20" s="1"/>
  <c r="KB15" i="20"/>
  <c r="KB17" i="20" s="1"/>
  <c r="KC15" i="20"/>
  <c r="KC17" i="20" s="1"/>
  <c r="KD15" i="20"/>
  <c r="KD17" i="20" s="1"/>
  <c r="KE15" i="20"/>
  <c r="KE17" i="20" s="1"/>
  <c r="KG15" i="20"/>
  <c r="KG17" i="20" s="1"/>
  <c r="KH15" i="20"/>
  <c r="KH17" i="20" s="1"/>
  <c r="KI15" i="20"/>
  <c r="KI17" i="20" s="1"/>
  <c r="KJ15" i="20"/>
  <c r="KJ17" i="20" s="1"/>
  <c r="KK15" i="20"/>
  <c r="KK17" i="20" s="1"/>
  <c r="KM15" i="20"/>
  <c r="KM17" i="20" s="1"/>
  <c r="KN15" i="20"/>
  <c r="KN17" i="20" s="1"/>
  <c r="KO15" i="20"/>
  <c r="KO17" i="20" s="1"/>
  <c r="KP15" i="20"/>
  <c r="KP17" i="20" s="1"/>
  <c r="KQ15" i="20"/>
  <c r="KQ17" i="20" s="1"/>
  <c r="KS15" i="20"/>
  <c r="KS17" i="20" s="1"/>
  <c r="KT15" i="20"/>
  <c r="KT17" i="20" s="1"/>
  <c r="KU15" i="20"/>
  <c r="KU17" i="20" s="1"/>
  <c r="KV15" i="20"/>
  <c r="KV17" i="20" s="1"/>
  <c r="KW15" i="20"/>
  <c r="KW17" i="20" s="1"/>
  <c r="KY15" i="20"/>
  <c r="KY17" i="20" s="1"/>
  <c r="KZ15" i="20"/>
  <c r="KZ17" i="20" s="1"/>
  <c r="LA15" i="20"/>
  <c r="LA17" i="20" s="1"/>
  <c r="LB15" i="20"/>
  <c r="LB17" i="20" s="1"/>
  <c r="LC15" i="20"/>
  <c r="LC17" i="20" s="1"/>
  <c r="LD15" i="20"/>
  <c r="LD17" i="20" s="1"/>
  <c r="LF15" i="20"/>
  <c r="LF17" i="20" s="1"/>
  <c r="LG15" i="20"/>
  <c r="LG17" i="20" s="1"/>
  <c r="LH15" i="20"/>
  <c r="LH17" i="20" s="1"/>
  <c r="LI15" i="20"/>
  <c r="LI17" i="20" s="1"/>
  <c r="LJ15" i="20"/>
  <c r="LJ17" i="20" s="1"/>
  <c r="LL15" i="20"/>
  <c r="LL17" i="20" s="1"/>
  <c r="LM15" i="20"/>
  <c r="LM17" i="20" s="1"/>
  <c r="LN15" i="20"/>
  <c r="LN17" i="20" s="1"/>
  <c r="LO15" i="20"/>
  <c r="LO17" i="20" s="1"/>
  <c r="LP15" i="20"/>
  <c r="LP17" i="20" s="1"/>
  <c r="LR15" i="20"/>
  <c r="LR17" i="20" s="1"/>
  <c r="LS15" i="20"/>
  <c r="LS17" i="20" s="1"/>
  <c r="LT15" i="20"/>
  <c r="LT17" i="20" s="1"/>
  <c r="LU15" i="20"/>
  <c r="LU17" i="20" s="1"/>
  <c r="LV15" i="20"/>
  <c r="LV17" i="20" s="1"/>
  <c r="LX15" i="20"/>
  <c r="LX17" i="20" s="1"/>
  <c r="LZ15" i="20"/>
  <c r="LZ17" i="20" s="1"/>
  <c r="MA15" i="20"/>
  <c r="MA17" i="20" s="1"/>
  <c r="MB15" i="20"/>
  <c r="MB17" i="20" s="1"/>
  <c r="MC15" i="20"/>
  <c r="MC17" i="20" s="1"/>
  <c r="MD15" i="20"/>
  <c r="MD17" i="20" s="1"/>
  <c r="ME15" i="20"/>
  <c r="ME17" i="20" s="1"/>
  <c r="MF15" i="20"/>
  <c r="MF17" i="20" s="1"/>
  <c r="MG15" i="20"/>
  <c r="MG17" i="20" s="1"/>
  <c r="MH15" i="20"/>
  <c r="MH17" i="20" s="1"/>
  <c r="MI15" i="20"/>
  <c r="MI17" i="20" s="1"/>
  <c r="MJ15" i="20"/>
  <c r="MJ17" i="20" s="1"/>
  <c r="MK15" i="20"/>
  <c r="MK17" i="20" s="1"/>
  <c r="ML15" i="20"/>
  <c r="ML17" i="20" s="1"/>
  <c r="MM15" i="20"/>
  <c r="MM17" i="20" s="1"/>
  <c r="MN15" i="20"/>
  <c r="MN17" i="20" s="1"/>
  <c r="MO15" i="20"/>
  <c r="MO17" i="20" s="1"/>
  <c r="MP15" i="20"/>
  <c r="MP17" i="20" s="1"/>
  <c r="MQ15" i="20"/>
  <c r="MQ17" i="20" s="1"/>
  <c r="MR15" i="20"/>
  <c r="MR17" i="20" s="1"/>
  <c r="MS15" i="20"/>
  <c r="MS17" i="20" s="1"/>
  <c r="MT15" i="20"/>
  <c r="MT17" i="20" s="1"/>
  <c r="MU15" i="20"/>
  <c r="MU17" i="20" s="1"/>
  <c r="MV15" i="20"/>
  <c r="MV17" i="20" s="1"/>
  <c r="MW15" i="20"/>
  <c r="MW17" i="20" s="1"/>
  <c r="MX15" i="20"/>
  <c r="MX17" i="20" s="1"/>
  <c r="MY15" i="20"/>
  <c r="MY17" i="20" s="1"/>
  <c r="MZ15" i="20"/>
  <c r="MZ17" i="20" s="1"/>
  <c r="NA15" i="20"/>
  <c r="NA17" i="20" s="1"/>
  <c r="NB15" i="20"/>
  <c r="NB17" i="20" s="1"/>
  <c r="NC15" i="20"/>
  <c r="NC17" i="20" s="1"/>
  <c r="AN13" i="20"/>
  <c r="AN16" i="20" s="1"/>
  <c r="BA13" i="20"/>
  <c r="BA16" i="20" s="1"/>
  <c r="AZ13" i="20"/>
  <c r="AZ16" i="20" s="1"/>
  <c r="BB13" i="20"/>
  <c r="BB16" i="20" s="1"/>
  <c r="AX24" i="20"/>
  <c r="AO13" i="20"/>
  <c r="AO16" i="20" s="1"/>
  <c r="AP13" i="20"/>
  <c r="AP16" i="20" s="1"/>
  <c r="AQ13" i="20"/>
  <c r="AQ16" i="20" s="1"/>
  <c r="AS13" i="20"/>
  <c r="AS16" i="20" s="1"/>
  <c r="AT13" i="20"/>
  <c r="AT16" i="20" s="1"/>
  <c r="AU13" i="20"/>
  <c r="AU16" i="20" s="1"/>
  <c r="AV13" i="20"/>
  <c r="AV16" i="20" s="1"/>
  <c r="AW13" i="20"/>
  <c r="AW16" i="20" s="1"/>
  <c r="AY13" i="20"/>
  <c r="AY16" i="20" s="1"/>
  <c r="BC13" i="20"/>
  <c r="BC16" i="20" s="1"/>
  <c r="BE13" i="20"/>
  <c r="BE16" i="20" s="1"/>
  <c r="BF13" i="20"/>
  <c r="BF16" i="20" s="1"/>
  <c r="BG13" i="20"/>
  <c r="BG16" i="20" s="1"/>
  <c r="BH13" i="20"/>
  <c r="BH16" i="20" s="1"/>
  <c r="BI13" i="20"/>
  <c r="BI16" i="20" s="1"/>
  <c r="BM13" i="20"/>
  <c r="BM16" i="20" s="1"/>
  <c r="BN13" i="20"/>
  <c r="BN16" i="20" s="1"/>
  <c r="BO13" i="20"/>
  <c r="BO16" i="20" s="1"/>
  <c r="BP13" i="20"/>
  <c r="BP16" i="20" s="1"/>
  <c r="BR13" i="20"/>
  <c r="BR16" i="20" s="1"/>
  <c r="BS13" i="20"/>
  <c r="BS16" i="20" s="1"/>
  <c r="BT13" i="20"/>
  <c r="BT16" i="20" s="1"/>
  <c r="BU13" i="20"/>
  <c r="BU16" i="20" s="1"/>
  <c r="BV13" i="20"/>
  <c r="BV16" i="20" s="1"/>
  <c r="BX13" i="20"/>
  <c r="BX16" i="20" s="1"/>
  <c r="BY13" i="20"/>
  <c r="BZ13" i="20"/>
  <c r="CA13" i="20"/>
  <c r="CA16" i="20" s="1"/>
  <c r="CB13" i="20"/>
  <c r="CB16" i="20" s="1"/>
  <c r="CD13" i="20"/>
  <c r="CD16" i="20" s="1"/>
  <c r="CE13" i="20"/>
  <c r="CE16" i="20" s="1"/>
  <c r="CF13" i="20"/>
  <c r="CF16" i="20" s="1"/>
  <c r="CG13" i="20"/>
  <c r="CG16" i="20" s="1"/>
  <c r="CH13" i="20"/>
  <c r="CK13" i="20"/>
  <c r="CL13" i="20"/>
  <c r="CL16" i="20" s="1"/>
  <c r="CM13" i="20"/>
  <c r="CM16" i="20" s="1"/>
  <c r="CN13" i="20"/>
  <c r="CN16" i="20" s="1"/>
  <c r="CO13" i="20"/>
  <c r="CO16" i="20" s="1"/>
  <c r="CP13" i="20"/>
  <c r="CP16" i="20" s="1"/>
  <c r="CQ13" i="20"/>
  <c r="CQ16" i="20" s="1"/>
  <c r="CR13" i="20"/>
  <c r="CS13" i="20"/>
  <c r="CT13" i="20"/>
  <c r="CT16" i="20" s="1"/>
  <c r="CU13" i="20"/>
  <c r="CU16" i="20" s="1"/>
  <c r="CV13" i="20"/>
  <c r="CV16" i="20" s="1"/>
  <c r="CW13" i="20"/>
  <c r="CW16" i="20" s="1"/>
  <c r="CX13" i="20"/>
  <c r="CX16" i="20" s="1"/>
  <c r="CY13" i="20"/>
  <c r="CY16" i="20" s="1"/>
  <c r="CZ13" i="20"/>
  <c r="DA13" i="20"/>
  <c r="DA16" i="20" s="1"/>
  <c r="DB13" i="20"/>
  <c r="DB16" i="20" s="1"/>
  <c r="DC13" i="20"/>
  <c r="DC16" i="20" s="1"/>
  <c r="DD13" i="20"/>
  <c r="DD16" i="20" s="1"/>
  <c r="DE13" i="20"/>
  <c r="DE16" i="20" s="1"/>
  <c r="DF13" i="20"/>
  <c r="DF16" i="20" s="1"/>
  <c r="DG13" i="20"/>
  <c r="DG16" i="20" s="1"/>
  <c r="DH13" i="20"/>
  <c r="DI13" i="20"/>
  <c r="DJ13" i="20"/>
  <c r="DJ16" i="20" s="1"/>
  <c r="DK13" i="20"/>
  <c r="DK16" i="20" s="1"/>
  <c r="DL13" i="20"/>
  <c r="DL16" i="20" s="1"/>
  <c r="DM13" i="20"/>
  <c r="DM16" i="20" s="1"/>
  <c r="DN13" i="20"/>
  <c r="DN16" i="20" s="1"/>
  <c r="DO13" i="20"/>
  <c r="DO16" i="20" s="1"/>
  <c r="DP13" i="20"/>
  <c r="DQ13" i="20"/>
  <c r="DR13" i="20"/>
  <c r="DR16" i="20" s="1"/>
  <c r="DS13" i="20"/>
  <c r="DS16" i="20" s="1"/>
  <c r="DT13" i="20"/>
  <c r="DT16" i="20" s="1"/>
  <c r="DU13" i="20"/>
  <c r="DU16" i="20" s="1"/>
  <c r="DV13" i="20"/>
  <c r="DV16" i="20" s="1"/>
  <c r="DW13" i="20"/>
  <c r="DW16" i="20" s="1"/>
  <c r="DX13" i="20"/>
  <c r="DY13" i="20"/>
  <c r="DZ13" i="20"/>
  <c r="DZ16" i="20" s="1"/>
  <c r="EA13" i="20"/>
  <c r="EA16" i="20" s="1"/>
  <c r="EB13" i="20"/>
  <c r="EB16" i="20" s="1"/>
  <c r="EC13" i="20"/>
  <c r="EC16" i="20" s="1"/>
  <c r="ED13" i="20"/>
  <c r="ED16" i="20" s="1"/>
  <c r="EE13" i="20"/>
  <c r="EE16" i="20" s="1"/>
  <c r="EF13" i="20"/>
  <c r="EG13" i="20"/>
  <c r="EG16" i="20" s="1"/>
  <c r="EH13" i="20"/>
  <c r="EH16" i="20" s="1"/>
  <c r="EI13" i="20"/>
  <c r="EI16" i="20" s="1"/>
  <c r="EJ13" i="20"/>
  <c r="EJ16" i="20" s="1"/>
  <c r="EK13" i="20"/>
  <c r="EK16" i="20" s="1"/>
  <c r="EL13" i="20"/>
  <c r="EL16" i="20" s="1"/>
  <c r="EM13" i="20"/>
  <c r="EM16" i="20" s="1"/>
  <c r="EN13" i="20"/>
  <c r="EO13" i="20"/>
  <c r="EP13" i="20"/>
  <c r="EP16" i="20" s="1"/>
  <c r="EQ13" i="20"/>
  <c r="EQ16" i="20" s="1"/>
  <c r="ER13" i="20"/>
  <c r="ER16" i="20" s="1"/>
  <c r="ES13" i="20"/>
  <c r="ES16" i="20" s="1"/>
  <c r="ET13" i="20"/>
  <c r="ET16" i="20" s="1"/>
  <c r="EU13" i="20"/>
  <c r="EU16" i="20" s="1"/>
  <c r="EV13" i="20"/>
  <c r="EW13" i="20"/>
  <c r="EW16" i="20" s="1"/>
  <c r="EX13" i="20"/>
  <c r="EX16" i="20" s="1"/>
  <c r="EY13" i="20"/>
  <c r="EY16" i="20" s="1"/>
  <c r="EZ13" i="20"/>
  <c r="EZ16" i="20" s="1"/>
  <c r="FA13" i="20"/>
  <c r="FA16" i="20" s="1"/>
  <c r="FB13" i="20"/>
  <c r="FB16" i="20" s="1"/>
  <c r="FC13" i="20"/>
  <c r="FC16" i="20" s="1"/>
  <c r="FD13" i="20"/>
  <c r="FE13" i="20"/>
  <c r="FE16" i="20" s="1"/>
  <c r="FF13" i="20"/>
  <c r="FF16" i="20" s="1"/>
  <c r="FG13" i="20"/>
  <c r="FG16" i="20" s="1"/>
  <c r="FH13" i="20"/>
  <c r="FH16" i="20" s="1"/>
  <c r="FI13" i="20"/>
  <c r="FI16" i="20" s="1"/>
  <c r="FJ13" i="20"/>
  <c r="FJ16" i="20" s="1"/>
  <c r="FK13" i="20"/>
  <c r="FK16" i="20" s="1"/>
  <c r="FL13" i="20"/>
  <c r="FM13" i="20"/>
  <c r="FM16" i="20" s="1"/>
  <c r="FN13" i="20"/>
  <c r="FN16" i="20" s="1"/>
  <c r="FO13" i="20"/>
  <c r="FO16" i="20" s="1"/>
  <c r="FP13" i="20"/>
  <c r="FP16" i="20" s="1"/>
  <c r="FQ13" i="20"/>
  <c r="FQ16" i="20" s="1"/>
  <c r="FR13" i="20"/>
  <c r="FR16" i="20" s="1"/>
  <c r="FS13" i="20"/>
  <c r="FS16" i="20" s="1"/>
  <c r="FT13" i="20"/>
  <c r="FU13" i="20"/>
  <c r="FU16" i="20" s="1"/>
  <c r="FV13" i="20"/>
  <c r="FV16" i="20" s="1"/>
  <c r="FW13" i="20"/>
  <c r="FW16" i="20" s="1"/>
  <c r="FX13" i="20"/>
  <c r="FX16" i="20" s="1"/>
  <c r="FY13" i="20"/>
  <c r="FY16" i="20" s="1"/>
  <c r="FZ13" i="20"/>
  <c r="FZ16" i="20" s="1"/>
  <c r="GA13" i="20"/>
  <c r="GA16" i="20" s="1"/>
  <c r="GB13" i="20"/>
  <c r="GC13" i="20"/>
  <c r="GC16" i="20" s="1"/>
  <c r="GD13" i="20"/>
  <c r="GD16" i="20" s="1"/>
  <c r="GE13" i="20"/>
  <c r="GE16" i="20" s="1"/>
  <c r="GF13" i="20"/>
  <c r="GF16" i="20" s="1"/>
  <c r="GG13" i="20"/>
  <c r="GG16" i="20" s="1"/>
  <c r="GH13" i="20"/>
  <c r="GH16" i="20" s="1"/>
  <c r="GI13" i="20"/>
  <c r="GI16" i="20" s="1"/>
  <c r="GJ13" i="20"/>
  <c r="GK13" i="20"/>
  <c r="GK16" i="20" s="1"/>
  <c r="GL13" i="20"/>
  <c r="GL16" i="20" s="1"/>
  <c r="GM13" i="20"/>
  <c r="GM16" i="20" s="1"/>
  <c r="GN13" i="20"/>
  <c r="GN16" i="20" s="1"/>
  <c r="GO13" i="20"/>
  <c r="GO16" i="20" s="1"/>
  <c r="GP13" i="20"/>
  <c r="GP16" i="20" s="1"/>
  <c r="GQ13" i="20"/>
  <c r="GQ16" i="20" s="1"/>
  <c r="GR13" i="20"/>
  <c r="GS13" i="20"/>
  <c r="GS16" i="20" s="1"/>
  <c r="GT13" i="20"/>
  <c r="GT16" i="20" s="1"/>
  <c r="GU13" i="20"/>
  <c r="GU16" i="20" s="1"/>
  <c r="GV13" i="20"/>
  <c r="GV16" i="20" s="1"/>
  <c r="GW13" i="20"/>
  <c r="GW16" i="20" s="1"/>
  <c r="GX13" i="20"/>
  <c r="GX16" i="20" s="1"/>
  <c r="GY13" i="20"/>
  <c r="GY16" i="20" s="1"/>
  <c r="GZ13" i="20"/>
  <c r="HA13" i="20"/>
  <c r="HA16" i="20" s="1"/>
  <c r="HB13" i="20"/>
  <c r="HB16" i="20" s="1"/>
  <c r="HC13" i="20"/>
  <c r="HC16" i="20" s="1"/>
  <c r="HD13" i="20"/>
  <c r="HD16" i="20" s="1"/>
  <c r="HE13" i="20"/>
  <c r="HE16" i="20" s="1"/>
  <c r="HF13" i="20"/>
  <c r="HF16" i="20" s="1"/>
  <c r="HG13" i="20"/>
  <c r="HG16" i="20" s="1"/>
  <c r="HH13" i="20"/>
  <c r="HI13" i="20"/>
  <c r="HI16" i="20" s="1"/>
  <c r="HJ13" i="20"/>
  <c r="HJ16" i="20" s="1"/>
  <c r="HK13" i="20"/>
  <c r="HK16" i="20" s="1"/>
  <c r="HL13" i="20"/>
  <c r="HL16" i="20" s="1"/>
  <c r="HM13" i="20"/>
  <c r="HM16" i="20" s="1"/>
  <c r="HN13" i="20"/>
  <c r="HN16" i="20" s="1"/>
  <c r="HO13" i="20"/>
  <c r="HO16" i="20" s="1"/>
  <c r="HP13" i="20"/>
  <c r="HQ13" i="20"/>
  <c r="HQ16" i="20" s="1"/>
  <c r="HR13" i="20"/>
  <c r="HR16" i="20" s="1"/>
  <c r="HS13" i="20"/>
  <c r="HS16" i="20" s="1"/>
  <c r="HT13" i="20"/>
  <c r="HT16" i="20" s="1"/>
  <c r="HU13" i="20"/>
  <c r="HU16" i="20" s="1"/>
  <c r="HV13" i="20"/>
  <c r="HV16" i="20" s="1"/>
  <c r="HW13" i="20"/>
  <c r="HW16" i="20" s="1"/>
  <c r="HX13" i="20"/>
  <c r="HY13" i="20"/>
  <c r="HY16" i="20" s="1"/>
  <c r="HZ13" i="20"/>
  <c r="HZ16" i="20" s="1"/>
  <c r="IA13" i="20"/>
  <c r="IA16" i="20" s="1"/>
  <c r="IB13" i="20"/>
  <c r="IB16" i="20" s="1"/>
  <c r="IC13" i="20"/>
  <c r="IC16" i="20" s="1"/>
  <c r="ID13" i="20"/>
  <c r="ID16" i="20" s="1"/>
  <c r="IE13" i="20"/>
  <c r="IE16" i="20" s="1"/>
  <c r="IF13" i="20"/>
  <c r="IG13" i="20"/>
  <c r="IG16" i="20" s="1"/>
  <c r="IH13" i="20"/>
  <c r="IH16" i="20" s="1"/>
  <c r="II13" i="20"/>
  <c r="II16" i="20" s="1"/>
  <c r="IJ13" i="20"/>
  <c r="IJ16" i="20" s="1"/>
  <c r="IK13" i="20"/>
  <c r="IK16" i="20" s="1"/>
  <c r="IL13" i="20"/>
  <c r="IL16" i="20" s="1"/>
  <c r="IM13" i="20"/>
  <c r="IM16" i="20" s="1"/>
  <c r="IN13" i="20"/>
  <c r="IO13" i="20"/>
  <c r="IO16" i="20" s="1"/>
  <c r="IP13" i="20"/>
  <c r="IP16" i="20" s="1"/>
  <c r="IQ13" i="20"/>
  <c r="IQ16" i="20" s="1"/>
  <c r="IR13" i="20"/>
  <c r="IR16" i="20" s="1"/>
  <c r="IS13" i="20"/>
  <c r="IS16" i="20" s="1"/>
  <c r="IT13" i="20"/>
  <c r="IT16" i="20" s="1"/>
  <c r="IU13" i="20"/>
  <c r="IU16" i="20" s="1"/>
  <c r="IV13" i="20"/>
  <c r="IW13" i="20"/>
  <c r="IW16" i="20" s="1"/>
  <c r="IX13" i="20"/>
  <c r="IX16" i="20" s="1"/>
  <c r="IY13" i="20"/>
  <c r="IY16" i="20" s="1"/>
  <c r="IZ13" i="20"/>
  <c r="IZ16" i="20" s="1"/>
  <c r="JA13" i="20"/>
  <c r="JA16" i="20" s="1"/>
  <c r="JB13" i="20"/>
  <c r="JB16" i="20" s="1"/>
  <c r="JC13" i="20"/>
  <c r="JC16" i="20" s="1"/>
  <c r="JD13" i="20"/>
  <c r="JE13" i="20"/>
  <c r="JE16" i="20" s="1"/>
  <c r="JF13" i="20"/>
  <c r="JF16" i="20" s="1"/>
  <c r="JG13" i="20"/>
  <c r="JG16" i="20" s="1"/>
  <c r="JH13" i="20"/>
  <c r="JH16" i="20" s="1"/>
  <c r="JI13" i="20"/>
  <c r="JI16" i="20" s="1"/>
  <c r="JJ13" i="20"/>
  <c r="JJ16" i="20" s="1"/>
  <c r="JK13" i="20"/>
  <c r="JK16" i="20" s="1"/>
  <c r="JL13" i="20"/>
  <c r="JM13" i="20"/>
  <c r="JM16" i="20" s="1"/>
  <c r="JN13" i="20"/>
  <c r="JN16" i="20" s="1"/>
  <c r="JO13" i="20"/>
  <c r="JO16" i="20" s="1"/>
  <c r="JP13" i="20"/>
  <c r="JP16" i="20" s="1"/>
  <c r="JQ13" i="20"/>
  <c r="JQ16" i="20" s="1"/>
  <c r="JR13" i="20"/>
  <c r="JR16" i="20" s="1"/>
  <c r="JS13" i="20"/>
  <c r="JS16" i="20" s="1"/>
  <c r="JT13" i="20"/>
  <c r="JU13" i="20"/>
  <c r="JU16" i="20" s="1"/>
  <c r="JV13" i="20"/>
  <c r="JV16" i="20" s="1"/>
  <c r="JW13" i="20"/>
  <c r="JW16" i="20" s="1"/>
  <c r="JX13" i="20"/>
  <c r="JX16" i="20" s="1"/>
  <c r="JY13" i="20"/>
  <c r="JY16" i="20" s="1"/>
  <c r="KA13" i="20"/>
  <c r="KA16" i="20" s="1"/>
  <c r="KB13" i="20"/>
  <c r="KB16" i="20" s="1"/>
  <c r="KC13" i="20"/>
  <c r="KC16" i="20" s="1"/>
  <c r="KD13" i="20"/>
  <c r="KD16" i="20" s="1"/>
  <c r="KE13" i="20"/>
  <c r="KE16" i="20" s="1"/>
  <c r="KG13" i="20"/>
  <c r="KG16" i="20" s="1"/>
  <c r="KH13" i="20"/>
  <c r="KH16" i="20" s="1"/>
  <c r="KI13" i="20"/>
  <c r="KI16" i="20" s="1"/>
  <c r="KJ13" i="20"/>
  <c r="KJ16" i="20" s="1"/>
  <c r="KK13" i="20"/>
  <c r="KK16" i="20" s="1"/>
  <c r="KM13" i="20"/>
  <c r="KN13" i="20"/>
  <c r="KO13" i="20"/>
  <c r="KO16" i="20" s="1"/>
  <c r="KP13" i="20"/>
  <c r="KP16" i="20" s="1"/>
  <c r="KQ13" i="20"/>
  <c r="KQ16" i="20" s="1"/>
  <c r="KS13" i="20"/>
  <c r="KS16" i="20" s="1"/>
  <c r="KT13" i="20"/>
  <c r="KT16" i="20" s="1"/>
  <c r="KU13" i="20"/>
  <c r="KU16" i="20" s="1"/>
  <c r="KV13" i="20"/>
  <c r="KW13" i="20"/>
  <c r="KY13" i="20"/>
  <c r="KY16" i="20" s="1"/>
  <c r="KZ13" i="20"/>
  <c r="KZ16" i="20" s="1"/>
  <c r="LA13" i="20"/>
  <c r="LA16" i="20" s="1"/>
  <c r="LB13" i="20"/>
  <c r="LB16" i="20" s="1"/>
  <c r="LC13" i="20"/>
  <c r="LC16" i="20" s="1"/>
  <c r="LD13" i="20"/>
  <c r="LD16" i="20" s="1"/>
  <c r="LF13" i="20"/>
  <c r="LG13" i="20"/>
  <c r="LH13" i="20"/>
  <c r="LH16" i="20" s="1"/>
  <c r="LI13" i="20"/>
  <c r="LI16" i="20" s="1"/>
  <c r="LJ13" i="20"/>
  <c r="LJ16" i="20" s="1"/>
  <c r="LL13" i="20"/>
  <c r="LL16" i="20" s="1"/>
  <c r="LM13" i="20"/>
  <c r="LM16" i="20" s="1"/>
  <c r="LN13" i="20"/>
  <c r="LN16" i="20" s="1"/>
  <c r="LO13" i="20"/>
  <c r="LP13" i="20"/>
  <c r="LR13" i="20"/>
  <c r="LR16" i="20" s="1"/>
  <c r="LS13" i="20"/>
  <c r="LS16" i="20" s="1"/>
  <c r="LT13" i="20"/>
  <c r="LT16" i="20" s="1"/>
  <c r="LU13" i="20"/>
  <c r="LU16" i="20" s="1"/>
  <c r="LV13" i="20"/>
  <c r="LV16" i="20" s="1"/>
  <c r="LX13" i="20"/>
  <c r="LX16" i="20" s="1"/>
  <c r="LZ13" i="20"/>
  <c r="LZ16" i="20" s="1"/>
  <c r="MA13" i="20"/>
  <c r="MB13" i="20"/>
  <c r="MB16" i="20" s="1"/>
  <c r="MC13" i="20"/>
  <c r="MC16" i="20" s="1"/>
  <c r="MD13" i="20"/>
  <c r="MD16" i="20" s="1"/>
  <c r="ME13" i="20"/>
  <c r="ME16" i="20" s="1"/>
  <c r="MF13" i="20"/>
  <c r="MF16" i="20" s="1"/>
  <c r="MG13" i="20"/>
  <c r="MG16" i="20" s="1"/>
  <c r="MH13" i="20"/>
  <c r="MH16" i="20" s="1"/>
  <c r="MI13" i="20"/>
  <c r="MJ13" i="20"/>
  <c r="MJ16" i="20" s="1"/>
  <c r="MK13" i="20"/>
  <c r="MK16" i="20" s="1"/>
  <c r="ML13" i="20"/>
  <c r="ML16" i="20" s="1"/>
  <c r="MM13" i="20"/>
  <c r="MM16" i="20" s="1"/>
  <c r="MN13" i="20"/>
  <c r="MN16" i="20" s="1"/>
  <c r="MO13" i="20"/>
  <c r="MO16" i="20" s="1"/>
  <c r="MP13" i="20"/>
  <c r="MP16" i="20" s="1"/>
  <c r="MQ13" i="20"/>
  <c r="MR13" i="20"/>
  <c r="MR16" i="20" s="1"/>
  <c r="MS13" i="20"/>
  <c r="MS16" i="20" s="1"/>
  <c r="MT13" i="20"/>
  <c r="MT16" i="20" s="1"/>
  <c r="MU13" i="20"/>
  <c r="MU16" i="20" s="1"/>
  <c r="MV13" i="20"/>
  <c r="MV16" i="20" s="1"/>
  <c r="MW13" i="20"/>
  <c r="MW16" i="20" s="1"/>
  <c r="MX13" i="20"/>
  <c r="MX16" i="20" s="1"/>
  <c r="MY13" i="20"/>
  <c r="MZ13" i="20"/>
  <c r="MZ16" i="20" s="1"/>
  <c r="NA13" i="20"/>
  <c r="NA16" i="20" s="1"/>
  <c r="NB13" i="20"/>
  <c r="NB16" i="20" s="1"/>
  <c r="NC13" i="20"/>
  <c r="NC16" i="20" s="1"/>
  <c r="AR23" i="20"/>
  <c r="LY23" i="20"/>
  <c r="LY15" i="20" s="1"/>
  <c r="LY17" i="20" s="1"/>
  <c r="LW23" i="20"/>
  <c r="LQ23" i="20"/>
  <c r="LQ15" i="20" s="1"/>
  <c r="LQ17" i="20" s="1"/>
  <c r="LK23" i="20"/>
  <c r="LK15" i="20" s="1"/>
  <c r="LK17" i="20" s="1"/>
  <c r="LE23" i="20"/>
  <c r="LE15" i="20" s="1"/>
  <c r="LE17" i="20" s="1"/>
  <c r="KX23" i="20"/>
  <c r="KR23" i="20"/>
  <c r="KR15" i="20" s="1"/>
  <c r="KR17" i="20" s="1"/>
  <c r="KL23" i="20"/>
  <c r="KL15" i="20" s="1"/>
  <c r="KL17" i="20" s="1"/>
  <c r="KF23" i="20"/>
  <c r="KF15" i="20" s="1"/>
  <c r="KF17" i="20" s="1"/>
  <c r="JZ23" i="20"/>
  <c r="CI14" i="20"/>
  <c r="BW14" i="20"/>
  <c r="BJ23" i="20"/>
  <c r="BD23" i="20"/>
  <c r="AX23" i="20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25" i="4"/>
  <c r="A326" i="4"/>
  <c r="T52" i="22"/>
  <c r="T9" i="20"/>
  <c r="T7" i="20"/>
  <c r="P4" i="20"/>
  <c r="P16" i="20"/>
  <c r="AC87" i="20"/>
  <c r="T8" i="20"/>
  <c r="AB87" i="20"/>
  <c r="BM12" i="20" l="1"/>
  <c r="BL28" i="20"/>
  <c r="CD18" i="20"/>
  <c r="BT18" i="20"/>
  <c r="BS18" i="20"/>
  <c r="BR18" i="20"/>
  <c r="AV18" i="20"/>
  <c r="AU18" i="20"/>
  <c r="AT18" i="20"/>
  <c r="CB18" i="20"/>
  <c r="AO18" i="20"/>
  <c r="CA18" i="20"/>
  <c r="AN18" i="20"/>
  <c r="BV18" i="20"/>
  <c r="BF18" i="20"/>
  <c r="AP18" i="20"/>
  <c r="BU18" i="20"/>
  <c r="AW18" i="20"/>
  <c r="MQ16" i="20"/>
  <c r="MA16" i="20"/>
  <c r="LG16" i="20"/>
  <c r="KN16" i="20"/>
  <c r="EO16" i="20"/>
  <c r="DY16" i="20"/>
  <c r="DQ16" i="20"/>
  <c r="DI16" i="20"/>
  <c r="CS16" i="20"/>
  <c r="CK16" i="20"/>
  <c r="BZ16" i="20"/>
  <c r="BZ18" i="20"/>
  <c r="BP18" i="20"/>
  <c r="BE18" i="20"/>
  <c r="AQ18" i="20"/>
  <c r="MY16" i="20"/>
  <c r="MI16" i="20"/>
  <c r="LP16" i="20"/>
  <c r="KW16" i="20"/>
  <c r="JZ15" i="20"/>
  <c r="JZ17" i="20" s="1"/>
  <c r="LW15" i="20"/>
  <c r="LW17" i="20" s="1"/>
  <c r="LO16" i="20"/>
  <c r="LF16" i="20"/>
  <c r="KV16" i="20"/>
  <c r="KM16" i="20"/>
  <c r="JT16" i="20"/>
  <c r="JL16" i="20"/>
  <c r="JD16" i="20"/>
  <c r="IV16" i="20"/>
  <c r="IN16" i="20"/>
  <c r="IF16" i="20"/>
  <c r="HX16" i="20"/>
  <c r="HP16" i="20"/>
  <c r="HH16" i="20"/>
  <c r="GZ16" i="20"/>
  <c r="GR16" i="20"/>
  <c r="GJ16" i="20"/>
  <c r="GB16" i="20"/>
  <c r="FT16" i="20"/>
  <c r="FL16" i="20"/>
  <c r="FD16" i="20"/>
  <c r="EV16" i="20"/>
  <c r="EN16" i="20"/>
  <c r="EF16" i="20"/>
  <c r="DX16" i="20"/>
  <c r="DP16" i="20"/>
  <c r="DH16" i="20"/>
  <c r="CZ16" i="20"/>
  <c r="CR16" i="20"/>
  <c r="CH16" i="20"/>
  <c r="CH18" i="20"/>
  <c r="BY16" i="20"/>
  <c r="BY18" i="20"/>
  <c r="BC18" i="20"/>
  <c r="CG18" i="20"/>
  <c r="BI18" i="20"/>
  <c r="BA18" i="20"/>
  <c r="AS18" i="20"/>
  <c r="BB18" i="20"/>
  <c r="CF18" i="20"/>
  <c r="BX18" i="20"/>
  <c r="BH18" i="20"/>
  <c r="AZ18" i="20"/>
  <c r="CE18" i="20"/>
  <c r="BG18" i="20"/>
  <c r="AY18" i="20"/>
  <c r="CC15" i="20"/>
  <c r="CC17" i="20" s="1"/>
  <c r="KX15" i="20"/>
  <c r="KX17" i="20" s="1"/>
  <c r="CI15" i="20"/>
  <c r="CI17" i="20" s="1"/>
  <c r="BK23" i="20"/>
  <c r="U52" i="22"/>
  <c r="V52" i="22"/>
  <c r="W52" i="22"/>
  <c r="X52" i="22"/>
  <c r="Y52" i="22"/>
  <c r="Z52" i="22"/>
  <c r="AA52" i="22"/>
  <c r="S9" i="20"/>
  <c r="S8" i="20"/>
  <c r="S7" i="20"/>
  <c r="AA5" i="20"/>
  <c r="AA10" i="20"/>
  <c r="AA7" i="20"/>
  <c r="AA6" i="20"/>
  <c r="BN12" i="20" l="1"/>
  <c r="BM28" i="20"/>
  <c r="AC9" i="20"/>
  <c r="AC10" i="20"/>
  <c r="AC5" i="20"/>
  <c r="AC13" i="20"/>
  <c r="AC8" i="20"/>
  <c r="AC11" i="20"/>
  <c r="AC7" i="20"/>
  <c r="AC14" i="20"/>
  <c r="AC6" i="20"/>
  <c r="AC12" i="20"/>
  <c r="CJ17" i="20"/>
  <c r="ND23" i="20"/>
  <c r="AB49" i="22"/>
  <c r="AB48" i="22"/>
  <c r="AB45" i="22"/>
  <c r="AB44" i="22"/>
  <c r="AB41" i="22"/>
  <c r="AB40" i="22"/>
  <c r="AB37" i="22"/>
  <c r="AB36" i="22"/>
  <c r="AB33" i="22"/>
  <c r="AB32" i="22"/>
  <c r="AB29" i="22"/>
  <c r="AB28" i="22"/>
  <c r="AB25" i="22"/>
  <c r="AB24" i="22"/>
  <c r="AB21" i="22"/>
  <c r="AB20" i="22"/>
  <c r="AB17" i="22"/>
  <c r="AB16" i="22"/>
  <c r="AB13" i="22"/>
  <c r="AB12" i="22"/>
  <c r="AB9" i="22"/>
  <c r="AB8" i="22"/>
  <c r="AB5" i="22"/>
  <c r="BO12" i="20" l="1"/>
  <c r="BN28" i="20"/>
  <c r="AB52" i="22"/>
  <c r="AB53" i="22"/>
  <c r="BP12" i="20" l="1"/>
  <c r="BO28" i="20"/>
  <c r="J63" i="22"/>
  <c r="I63" i="22"/>
  <c r="H63" i="22"/>
  <c r="G63" i="22"/>
  <c r="F63" i="22"/>
  <c r="E63" i="22"/>
  <c r="D63" i="22"/>
  <c r="C63" i="22"/>
  <c r="BQ12" i="20" l="1"/>
  <c r="BP28" i="20"/>
  <c r="K63" i="22"/>
  <c r="BQ14" i="20" l="1"/>
  <c r="BQ18" i="20" s="1"/>
  <c r="BQ28" i="20"/>
  <c r="BQ13" i="20"/>
  <c r="BQ16" i="20" s="1"/>
  <c r="BQ19" i="20"/>
  <c r="CJ12" i="20"/>
  <c r="E4" i="22"/>
  <c r="E6" i="22"/>
  <c r="E9" i="22"/>
  <c r="E11" i="22"/>
  <c r="E14" i="22"/>
  <c r="CJ28" i="20" l="1"/>
  <c r="CJ19" i="20"/>
  <c r="CJ13" i="20"/>
  <c r="CJ14" i="20"/>
  <c r="CJ18" i="20" s="1"/>
  <c r="C4" i="22"/>
  <c r="C9" i="22"/>
  <c r="C14" i="22"/>
  <c r="C19" i="22"/>
  <c r="C24" i="22"/>
  <c r="C29" i="22"/>
  <c r="C34" i="22"/>
  <c r="C39" i="22"/>
  <c r="C44" i="22"/>
  <c r="C49" i="22"/>
  <c r="C54" i="22"/>
  <c r="C59" i="22"/>
  <c r="J59" i="22" l="1"/>
  <c r="I59" i="22"/>
  <c r="H59" i="22"/>
  <c r="G59" i="22"/>
  <c r="F59" i="22"/>
  <c r="E59" i="22"/>
  <c r="D59" i="22"/>
  <c r="K58" i="22"/>
  <c r="J54" i="22"/>
  <c r="I54" i="22"/>
  <c r="H54" i="22"/>
  <c r="G54" i="22"/>
  <c r="F54" i="22"/>
  <c r="E54" i="22"/>
  <c r="D54" i="22"/>
  <c r="K53" i="22"/>
  <c r="J49" i="22"/>
  <c r="I49" i="22"/>
  <c r="H49" i="22"/>
  <c r="G49" i="22"/>
  <c r="F49" i="22"/>
  <c r="E49" i="22"/>
  <c r="D49" i="22"/>
  <c r="K48" i="22"/>
  <c r="J44" i="22"/>
  <c r="I44" i="22"/>
  <c r="H44" i="22"/>
  <c r="G44" i="22"/>
  <c r="F44" i="22"/>
  <c r="E44" i="22"/>
  <c r="D44" i="22"/>
  <c r="K43" i="22"/>
  <c r="J39" i="22"/>
  <c r="I39" i="22"/>
  <c r="H39" i="22"/>
  <c r="G39" i="22"/>
  <c r="F39" i="22"/>
  <c r="E39" i="22"/>
  <c r="D39" i="22"/>
  <c r="K38" i="22"/>
  <c r="J34" i="22"/>
  <c r="I34" i="22"/>
  <c r="H34" i="22"/>
  <c r="G34" i="22"/>
  <c r="F34" i="22"/>
  <c r="E34" i="22"/>
  <c r="D34" i="22"/>
  <c r="K33" i="22"/>
  <c r="J29" i="22"/>
  <c r="I29" i="22"/>
  <c r="H29" i="22"/>
  <c r="G29" i="22"/>
  <c r="F29" i="22"/>
  <c r="E29" i="22"/>
  <c r="D29" i="22"/>
  <c r="K28" i="22"/>
  <c r="J24" i="22"/>
  <c r="I24" i="22"/>
  <c r="H24" i="22"/>
  <c r="G24" i="22"/>
  <c r="F24" i="22"/>
  <c r="E24" i="22"/>
  <c r="D24" i="22"/>
  <c r="K23" i="22"/>
  <c r="J19" i="22"/>
  <c r="I19" i="22"/>
  <c r="H19" i="22"/>
  <c r="G19" i="22"/>
  <c r="F19" i="22"/>
  <c r="E19" i="22"/>
  <c r="D19" i="22"/>
  <c r="K18" i="22"/>
  <c r="J14" i="22"/>
  <c r="I14" i="22"/>
  <c r="H14" i="22"/>
  <c r="G14" i="22"/>
  <c r="F14" i="22"/>
  <c r="D14" i="22"/>
  <c r="K13" i="22"/>
  <c r="J9" i="22"/>
  <c r="I9" i="22"/>
  <c r="H9" i="22"/>
  <c r="G9" i="22"/>
  <c r="F9" i="22"/>
  <c r="D9" i="22"/>
  <c r="K8" i="22"/>
  <c r="D4" i="22"/>
  <c r="F4" i="22"/>
  <c r="G4" i="22"/>
  <c r="H4" i="22"/>
  <c r="I4" i="22"/>
  <c r="J4" i="22"/>
  <c r="K3" i="22"/>
  <c r="G66" i="22" l="1"/>
  <c r="K60" i="22"/>
  <c r="K57" i="22"/>
  <c r="K59" i="22" s="1"/>
  <c r="K55" i="22"/>
  <c r="K52" i="22"/>
  <c r="K54" i="22" s="1"/>
  <c r="K50" i="22"/>
  <c r="K47" i="22"/>
  <c r="K49" i="22" s="1"/>
  <c r="K45" i="22"/>
  <c r="K42" i="22"/>
  <c r="K44" i="22" s="1"/>
  <c r="K40" i="22"/>
  <c r="K37" i="22"/>
  <c r="K39" i="22" s="1"/>
  <c r="K35" i="22"/>
  <c r="K32" i="22"/>
  <c r="K34" i="22" s="1"/>
  <c r="K30" i="22"/>
  <c r="K27" i="22"/>
  <c r="K29" i="22" s="1"/>
  <c r="K25" i="22"/>
  <c r="K22" i="22"/>
  <c r="K24" i="22" s="1"/>
  <c r="K20" i="22"/>
  <c r="K17" i="22"/>
  <c r="K19" i="22" s="1"/>
  <c r="K15" i="22"/>
  <c r="K12" i="22"/>
  <c r="K14" i="22" s="1"/>
  <c r="K10" i="22"/>
  <c r="K7" i="22"/>
  <c r="K9" i="22" s="1"/>
  <c r="K5" i="22"/>
  <c r="K2" i="22"/>
  <c r="K4" i="22" s="1"/>
  <c r="J61" i="22"/>
  <c r="I61" i="22"/>
  <c r="H61" i="22"/>
  <c r="G61" i="22"/>
  <c r="F61" i="22"/>
  <c r="E61" i="22"/>
  <c r="D61" i="22"/>
  <c r="J56" i="22"/>
  <c r="I56" i="22"/>
  <c r="H56" i="22"/>
  <c r="G56" i="22"/>
  <c r="F56" i="22"/>
  <c r="E56" i="22"/>
  <c r="D56" i="22"/>
  <c r="J51" i="22"/>
  <c r="I51" i="22"/>
  <c r="H51" i="22"/>
  <c r="G51" i="22"/>
  <c r="F51" i="22"/>
  <c r="E51" i="22"/>
  <c r="D51" i="22"/>
  <c r="J46" i="22"/>
  <c r="I46" i="22"/>
  <c r="H46" i="22"/>
  <c r="G46" i="22"/>
  <c r="F46" i="22"/>
  <c r="E46" i="22"/>
  <c r="D46" i="22"/>
  <c r="J41" i="22"/>
  <c r="I41" i="22"/>
  <c r="H41" i="22"/>
  <c r="G41" i="22"/>
  <c r="F41" i="22"/>
  <c r="E41" i="22"/>
  <c r="D41" i="22"/>
  <c r="D36" i="22"/>
  <c r="E36" i="22"/>
  <c r="F36" i="22"/>
  <c r="G36" i="22"/>
  <c r="H36" i="22"/>
  <c r="I36" i="22"/>
  <c r="J36" i="22"/>
  <c r="D31" i="22"/>
  <c r="E31" i="22"/>
  <c r="F31" i="22"/>
  <c r="G31" i="22"/>
  <c r="H31" i="22"/>
  <c r="I31" i="22"/>
  <c r="J31" i="22"/>
  <c r="D26" i="22"/>
  <c r="E26" i="22"/>
  <c r="F26" i="22"/>
  <c r="G26" i="22"/>
  <c r="H26" i="22"/>
  <c r="I26" i="22"/>
  <c r="J26" i="22"/>
  <c r="D21" i="22"/>
  <c r="F21" i="22"/>
  <c r="G21" i="22"/>
  <c r="H21" i="22"/>
  <c r="I21" i="22"/>
  <c r="J21" i="22"/>
  <c r="D16" i="22"/>
  <c r="E16" i="22"/>
  <c r="F16" i="22"/>
  <c r="G16" i="22"/>
  <c r="H16" i="22"/>
  <c r="I16" i="22"/>
  <c r="J16" i="22"/>
  <c r="D11" i="22"/>
  <c r="F11" i="22"/>
  <c r="G11" i="22"/>
  <c r="H11" i="22"/>
  <c r="I11" i="22"/>
  <c r="J11" i="22"/>
  <c r="D6" i="22"/>
  <c r="F6" i="22"/>
  <c r="G6" i="22"/>
  <c r="H6" i="22"/>
  <c r="I6" i="22"/>
  <c r="J6" i="22"/>
  <c r="D64" i="22"/>
  <c r="E64" i="22"/>
  <c r="F64" i="22"/>
  <c r="G64" i="22"/>
  <c r="H64" i="22"/>
  <c r="I64" i="22"/>
  <c r="J64" i="22"/>
  <c r="D66" i="22"/>
  <c r="E66" i="22"/>
  <c r="F66" i="22"/>
  <c r="H66" i="22"/>
  <c r="I66" i="22"/>
  <c r="J66" i="22"/>
  <c r="K21" i="22" l="1"/>
  <c r="F67" i="22"/>
  <c r="K6" i="22"/>
  <c r="H67" i="22"/>
  <c r="K31" i="22"/>
  <c r="D67" i="22"/>
  <c r="K36" i="22"/>
  <c r="K11" i="22"/>
  <c r="G67" i="22"/>
  <c r="K16" i="22"/>
  <c r="K56" i="22"/>
  <c r="J67" i="22"/>
  <c r="K26" i="22"/>
  <c r="K51" i="22"/>
  <c r="E67" i="22"/>
  <c r="K41" i="22"/>
  <c r="K61" i="22"/>
  <c r="I67" i="22"/>
  <c r="K46" i="22"/>
  <c r="C66" i="22" l="1"/>
  <c r="K66" i="22" s="1"/>
  <c r="C61" i="22"/>
  <c r="C56" i="22"/>
  <c r="C51" i="22"/>
  <c r="C46" i="22"/>
  <c r="C36" i="22"/>
  <c r="C41" i="22"/>
  <c r="C31" i="22"/>
  <c r="C26" i="22"/>
  <c r="C21" i="22"/>
  <c r="C16" i="22"/>
  <c r="C11" i="22"/>
  <c r="C6" i="22"/>
  <c r="C64" i="22"/>
  <c r="K62" i="22" l="1"/>
  <c r="K64" i="22" s="1"/>
  <c r="C67" i="22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02" i="4"/>
  <c r="A303" i="4"/>
  <c r="A304" i="4"/>
  <c r="A305" i="4"/>
  <c r="A306" i="4"/>
  <c r="A307" i="4"/>
  <c r="AR24" i="20"/>
  <c r="BJ25" i="20"/>
  <c r="BJ15" i="20" s="1"/>
  <c r="BJ17" i="20" s="1"/>
  <c r="BD25" i="20"/>
  <c r="BD15" i="20" s="1"/>
  <c r="BD17" i="20" s="1"/>
  <c r="AX25" i="20"/>
  <c r="AX15" i="20" s="1"/>
  <c r="AX17" i="20" s="1"/>
  <c r="AR25" i="20"/>
  <c r="AR15" i="20" s="1"/>
  <c r="AR17" i="20" s="1"/>
  <c r="BJ24" i="20"/>
  <c r="BD24" i="20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284" i="4"/>
  <c r="A285" i="4"/>
  <c r="A286" i="4"/>
  <c r="A287" i="4"/>
  <c r="A288" i="4"/>
  <c r="Z6" i="20"/>
  <c r="Z7" i="20"/>
  <c r="Z5" i="20"/>
  <c r="S4" i="21"/>
  <c r="S6" i="21"/>
  <c r="R6" i="21"/>
  <c r="Q6" i="21"/>
  <c r="I6" i="21"/>
  <c r="C6" i="21"/>
  <c r="D6" i="21"/>
  <c r="E6" i="21"/>
  <c r="F6" i="21"/>
  <c r="G6" i="21"/>
  <c r="H6" i="21"/>
  <c r="J6" i="21"/>
  <c r="K6" i="21"/>
  <c r="L6" i="21"/>
  <c r="M6" i="21"/>
  <c r="N6" i="21"/>
  <c r="O6" i="21"/>
  <c r="P6" i="21"/>
  <c r="BK24" i="20" l="1"/>
  <c r="K67" i="22"/>
  <c r="BK25" i="20"/>
  <c r="BK15" i="20" s="1"/>
  <c r="BK17" i="20" s="1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3" i="4"/>
  <c r="A282" i="4"/>
  <c r="BJ22" i="20"/>
  <c r="BJ3" i="20"/>
  <c r="BD22" i="20"/>
  <c r="ND25" i="20" l="1"/>
  <c r="ND15" i="20" s="1"/>
  <c r="ND17" i="20" s="1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NB3" i="20"/>
  <c r="MW3" i="20"/>
  <c r="MQ3" i="20"/>
  <c r="MK3" i="20"/>
  <c r="ME3" i="20"/>
  <c r="LY3" i="20"/>
  <c r="LW3" i="20"/>
  <c r="LQ3" i="20"/>
  <c r="LK3" i="20"/>
  <c r="LE3" i="20"/>
  <c r="KX3" i="20"/>
  <c r="KR3" i="20"/>
  <c r="KL3" i="20"/>
  <c r="KF3" i="20"/>
  <c r="JZ3" i="20"/>
  <c r="JV3" i="20"/>
  <c r="JR3" i="20"/>
  <c r="JL3" i="20"/>
  <c r="JF3" i="20"/>
  <c r="IZ3" i="20"/>
  <c r="IT3" i="20"/>
  <c r="IR3" i="20"/>
  <c r="IL3" i="20"/>
  <c r="IF3" i="20"/>
  <c r="HZ3" i="20"/>
  <c r="HS3" i="20"/>
  <c r="HM3" i="20"/>
  <c r="HG3" i="20"/>
  <c r="HA3" i="20"/>
  <c r="GU3" i="20"/>
  <c r="GP3" i="20"/>
  <c r="GM3" i="20"/>
  <c r="GG3" i="20"/>
  <c r="GA3" i="20"/>
  <c r="FU3" i="20"/>
  <c r="FN3" i="20"/>
  <c r="FH3" i="20"/>
  <c r="FB3" i="20"/>
  <c r="EV3" i="20"/>
  <c r="EP3" i="20"/>
  <c r="EM3" i="20"/>
  <c r="EH3" i="20"/>
  <c r="EB3" i="20"/>
  <c r="DV3" i="20"/>
  <c r="DP3" i="20"/>
  <c r="DK3" i="20"/>
  <c r="DH3" i="20"/>
  <c r="DB3" i="20"/>
  <c r="CV3" i="20"/>
  <c r="CP3" i="20"/>
  <c r="CI3" i="20"/>
  <c r="CC3" i="20"/>
  <c r="BW3" i="20"/>
  <c r="BQ3" i="20"/>
  <c r="BD3" i="20"/>
  <c r="AX3" i="20"/>
  <c r="BE12" i="20"/>
  <c r="AY12" i="20"/>
  <c r="AS12" i="20"/>
  <c r="AM12" i="20"/>
  <c r="A239" i="4"/>
  <c r="A240" i="4"/>
  <c r="A241" i="4"/>
  <c r="A242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BW15" i="20"/>
  <c r="BW17" i="20" s="1"/>
  <c r="AM13" i="20"/>
  <c r="JZ24" i="20"/>
  <c r="KF24" i="20"/>
  <c r="KL24" i="20"/>
  <c r="KR24" i="20"/>
  <c r="KX24" i="20"/>
  <c r="LE24" i="20"/>
  <c r="LK24" i="20"/>
  <c r="LQ24" i="20"/>
  <c r="LW24" i="20"/>
  <c r="LY24" i="20"/>
  <c r="LY22" i="20"/>
  <c r="LY14" i="20" s="1"/>
  <c r="LY18" i="20" s="1"/>
  <c r="JZ22" i="20"/>
  <c r="JZ14" i="20" s="1"/>
  <c r="JZ18" i="20" s="1"/>
  <c r="LW22" i="20"/>
  <c r="LW14" i="20" s="1"/>
  <c r="LW18" i="20" s="1"/>
  <c r="LQ22" i="20"/>
  <c r="LQ14" i="20" s="1"/>
  <c r="LQ18" i="20" s="1"/>
  <c r="LK22" i="20"/>
  <c r="LK14" i="20" s="1"/>
  <c r="LK18" i="20" s="1"/>
  <c r="LE22" i="20"/>
  <c r="LE14" i="20" s="1"/>
  <c r="LE18" i="20" s="1"/>
  <c r="KX22" i="20"/>
  <c r="KX14" i="20" s="1"/>
  <c r="KX18" i="20" s="1"/>
  <c r="KR22" i="20"/>
  <c r="KR14" i="20" s="1"/>
  <c r="KR18" i="20" s="1"/>
  <c r="KL22" i="20"/>
  <c r="KL14" i="20" s="1"/>
  <c r="KL18" i="20" s="1"/>
  <c r="KF22" i="20"/>
  <c r="KF14" i="20" s="1"/>
  <c r="KF18" i="20" s="1"/>
  <c r="AN1" i="20"/>
  <c r="AO1" i="20" s="1"/>
  <c r="AP1" i="20" s="1"/>
  <c r="AQ1" i="20" s="1"/>
  <c r="AS1" i="20" s="1"/>
  <c r="AT1" i="20" s="1"/>
  <c r="AU1" i="20" s="1"/>
  <c r="AV1" i="20" s="1"/>
  <c r="AW1" i="20" s="1"/>
  <c r="AY1" i="20" s="1"/>
  <c r="AZ1" i="20" s="1"/>
  <c r="BA1" i="20" s="1"/>
  <c r="BB1" i="20" s="1"/>
  <c r="BC1" i="20" s="1"/>
  <c r="BE1" i="20" s="1"/>
  <c r="BF1" i="20" s="1"/>
  <c r="BG1" i="20" s="1"/>
  <c r="BH1" i="20" s="1"/>
  <c r="BI1" i="20" s="1"/>
  <c r="BL1" i="20" s="1"/>
  <c r="BM1" i="20" s="1"/>
  <c r="BN1" i="20" s="1"/>
  <c r="BO1" i="20" s="1"/>
  <c r="BP1" i="20" s="1"/>
  <c r="BR1" i="20" s="1"/>
  <c r="BS1" i="20" s="1"/>
  <c r="BT1" i="20" s="1"/>
  <c r="BU1" i="20" s="1"/>
  <c r="BV1" i="20" s="1"/>
  <c r="BX1" i="20" s="1"/>
  <c r="BY1" i="20" s="1"/>
  <c r="BZ1" i="20" s="1"/>
  <c r="CA1" i="20" s="1"/>
  <c r="CB1" i="20" s="1"/>
  <c r="CD1" i="20" s="1"/>
  <c r="CE1" i="20" s="1"/>
  <c r="CF1" i="20" s="1"/>
  <c r="CG1" i="20" s="1"/>
  <c r="CH1" i="20" s="1"/>
  <c r="CK1" i="20" s="1"/>
  <c r="CL1" i="20" s="1"/>
  <c r="CM1" i="20" s="1"/>
  <c r="CN1" i="20" s="1"/>
  <c r="CO1" i="20" s="1"/>
  <c r="CQ1" i="20" s="1"/>
  <c r="CR1" i="20" s="1"/>
  <c r="CS1" i="20" s="1"/>
  <c r="CT1" i="20" s="1"/>
  <c r="CU1" i="20" s="1"/>
  <c r="CW1" i="20" s="1"/>
  <c r="CX1" i="20" s="1"/>
  <c r="CY1" i="20" s="1"/>
  <c r="CZ1" i="20" s="1"/>
  <c r="AX22" i="20"/>
  <c r="AR22" i="20"/>
  <c r="A223" i="4"/>
  <c r="A224" i="4"/>
  <c r="A212" i="4"/>
  <c r="A213" i="4"/>
  <c r="A214" i="4"/>
  <c r="A215" i="4"/>
  <c r="A216" i="4"/>
  <c r="A217" i="4"/>
  <c r="A218" i="4"/>
  <c r="A219" i="4"/>
  <c r="A220" i="4"/>
  <c r="A221" i="4"/>
  <c r="A222" i="4"/>
  <c r="A206" i="4"/>
  <c r="A210" i="4"/>
  <c r="A211" i="4"/>
  <c r="A207" i="4"/>
  <c r="A208" i="4"/>
  <c r="A209" i="4"/>
  <c r="Y5" i="20"/>
  <c r="AZ12" i="20" l="1"/>
  <c r="AY28" i="20"/>
  <c r="BF12" i="20"/>
  <c r="BE28" i="20"/>
  <c r="AN12" i="20"/>
  <c r="AM28" i="20"/>
  <c r="AT12" i="20"/>
  <c r="AS28" i="20"/>
  <c r="LW19" i="20"/>
  <c r="LW20" i="20" s="1"/>
  <c r="JZ19" i="20"/>
  <c r="JZ20" i="20" s="1"/>
  <c r="AM16" i="20"/>
  <c r="AM18" i="20"/>
  <c r="KF19" i="20"/>
  <c r="KF20" i="20" s="1"/>
  <c r="CC20" i="20"/>
  <c r="JW3" i="20"/>
  <c r="LY19" i="20"/>
  <c r="LY20" i="20" s="1"/>
  <c r="LQ19" i="20"/>
  <c r="LQ20" i="20" s="1"/>
  <c r="CI20" i="20"/>
  <c r="BW20" i="20"/>
  <c r="KX19" i="20"/>
  <c r="KX20" i="20" s="1"/>
  <c r="BQ20" i="20"/>
  <c r="LE19" i="20"/>
  <c r="LE20" i="20" s="1"/>
  <c r="KR19" i="20"/>
  <c r="KR20" i="20" s="1"/>
  <c r="LK19" i="20"/>
  <c r="LK20" i="20" s="1"/>
  <c r="KL19" i="20"/>
  <c r="KL20" i="20" s="1"/>
  <c r="LW13" i="20"/>
  <c r="JZ13" i="20"/>
  <c r="KR13" i="20"/>
  <c r="LQ13" i="20"/>
  <c r="CI13" i="20"/>
  <c r="LE13" i="20"/>
  <c r="KX13" i="20"/>
  <c r="KL13" i="20"/>
  <c r="LK13" i="20"/>
  <c r="LY13" i="20"/>
  <c r="KF13" i="20"/>
  <c r="BK3" i="20"/>
  <c r="ND3" i="20" s="1"/>
  <c r="DL3" i="20"/>
  <c r="LZ3" i="20"/>
  <c r="NC3" i="20"/>
  <c r="HT3" i="20"/>
  <c r="GQ3" i="20"/>
  <c r="FO3" i="20"/>
  <c r="IU3" i="20"/>
  <c r="CJ3" i="20"/>
  <c r="BK22" i="20"/>
  <c r="ND22" i="20" s="1"/>
  <c r="EN3" i="20"/>
  <c r="KY3" i="20"/>
  <c r="DA1" i="20"/>
  <c r="DC1" i="20" s="1"/>
  <c r="DD1" i="20" s="1"/>
  <c r="DE1" i="20" s="1"/>
  <c r="DF1" i="20" s="1"/>
  <c r="DG1" i="20" s="1"/>
  <c r="A199" i="4"/>
  <c r="A200" i="4"/>
  <c r="A201" i="4"/>
  <c r="A202" i="4"/>
  <c r="A203" i="4"/>
  <c r="A204" i="4"/>
  <c r="A205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64" i="4"/>
  <c r="A165" i="4"/>
  <c r="A166" i="4"/>
  <c r="A153" i="4"/>
  <c r="A154" i="4"/>
  <c r="A155" i="4"/>
  <c r="A156" i="4"/>
  <c r="A157" i="4"/>
  <c r="A158" i="4"/>
  <c r="A159" i="4"/>
  <c r="A160" i="4"/>
  <c r="A161" i="4"/>
  <c r="A162" i="4"/>
  <c r="A163" i="4"/>
  <c r="Q7" i="20"/>
  <c r="A118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15" i="4"/>
  <c r="A116" i="4"/>
  <c r="A117" i="4"/>
  <c r="A119" i="4"/>
  <c r="A120" i="4"/>
  <c r="A121" i="4"/>
  <c r="A122" i="4"/>
  <c r="A123" i="4"/>
  <c r="A124" i="4"/>
  <c r="A125" i="4"/>
  <c r="Z89" i="20"/>
  <c r="Z88" i="20"/>
  <c r="Z87" i="20"/>
  <c r="Z86" i="20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B90" i="20"/>
  <c r="AC89" i="20"/>
  <c r="AC86" i="20"/>
  <c r="AC90" i="20"/>
  <c r="AB89" i="20"/>
  <c r="AB88" i="20"/>
  <c r="AC88" i="20"/>
  <c r="AB86" i="20"/>
  <c r="AU12" i="20" l="1"/>
  <c r="AT28" i="20"/>
  <c r="AO12" i="20"/>
  <c r="AN28" i="20"/>
  <c r="BG12" i="20"/>
  <c r="BF28" i="20"/>
  <c r="BA12" i="20"/>
  <c r="AZ28" i="20"/>
  <c r="KF16" i="20"/>
  <c r="LW16" i="20"/>
  <c r="LY16" i="20"/>
  <c r="BW16" i="20"/>
  <c r="BW18" i="20"/>
  <c r="KL16" i="20"/>
  <c r="LQ16" i="20"/>
  <c r="LK16" i="20"/>
  <c r="CC16" i="20"/>
  <c r="CC18" i="20"/>
  <c r="KX16" i="20"/>
  <c r="KR16" i="20"/>
  <c r="LE16" i="20"/>
  <c r="JZ16" i="20"/>
  <c r="CI16" i="20"/>
  <c r="CI18" i="20"/>
  <c r="CJ20" i="20"/>
  <c r="ND24" i="20"/>
  <c r="DI1" i="20"/>
  <c r="DJ1" i="20" s="1"/>
  <c r="DM1" i="20" s="1"/>
  <c r="DN1" i="20" s="1"/>
  <c r="DO1" i="20" s="1"/>
  <c r="DQ1" i="20" s="1"/>
  <c r="DR1" i="20" s="1"/>
  <c r="DS1" i="20" s="1"/>
  <c r="DT1" i="20" s="1"/>
  <c r="DU1" i="20" s="1"/>
  <c r="DW1" i="20" s="1"/>
  <c r="DX1" i="20" s="1"/>
  <c r="DY1" i="20" s="1"/>
  <c r="DZ1" i="20" s="1"/>
  <c r="EA1" i="20" s="1"/>
  <c r="EC1" i="20" s="1"/>
  <c r="ED1" i="20" s="1"/>
  <c r="EE1" i="20" s="1"/>
  <c r="EF1" i="20" s="1"/>
  <c r="EG1" i="20" s="1"/>
  <c r="EI1" i="20" s="1"/>
  <c r="EJ1" i="20" s="1"/>
  <c r="EK1" i="20" s="1"/>
  <c r="EL1" i="20" s="1"/>
  <c r="EO1" i="20" s="1"/>
  <c r="AV12" i="20" l="1"/>
  <c r="AU28" i="20"/>
  <c r="BB12" i="20"/>
  <c r="BA28" i="20"/>
  <c r="BG28" i="20"/>
  <c r="BH12" i="20"/>
  <c r="AP12" i="20"/>
  <c r="AO28" i="20"/>
  <c r="CJ16" i="20"/>
  <c r="EQ1" i="20"/>
  <c r="ER1" i="20" s="1"/>
  <c r="ES1" i="20" s="1"/>
  <c r="ET1" i="20" s="1"/>
  <c r="EU1" i="20" s="1"/>
  <c r="EW1" i="20" s="1"/>
  <c r="EX1" i="20" s="1"/>
  <c r="EY1" i="20" s="1"/>
  <c r="EZ1" i="20" s="1"/>
  <c r="FA1" i="20" s="1"/>
  <c r="FC1" i="20" s="1"/>
  <c r="FD1" i="20" s="1"/>
  <c r="FE1" i="20" s="1"/>
  <c r="FF1" i="20" s="1"/>
  <c r="FG1" i="20" s="1"/>
  <c r="FI1" i="20" s="1"/>
  <c r="FJ1" i="20" s="1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3" i="4"/>
  <c r="A2" i="4"/>
  <c r="BC12" i="20" l="1"/>
  <c r="BB28" i="20"/>
  <c r="AQ12" i="20"/>
  <c r="AP28" i="20"/>
  <c r="BI12" i="20"/>
  <c r="BH28" i="20"/>
  <c r="AW12" i="20"/>
  <c r="AV28" i="20"/>
  <c r="FK1" i="20"/>
  <c r="AR12" i="20" l="1"/>
  <c r="AQ28" i="20"/>
  <c r="BD12" i="20"/>
  <c r="BC28" i="20"/>
  <c r="AX12" i="20"/>
  <c r="AW28" i="20"/>
  <c r="BI28" i="20"/>
  <c r="BJ12" i="20"/>
  <c r="FL1" i="20"/>
  <c r="FM1" i="20" s="1"/>
  <c r="FP1" i="20" s="1"/>
  <c r="FQ1" i="20" s="1"/>
  <c r="FR1" i="20" s="1"/>
  <c r="FS1" i="20" s="1"/>
  <c r="FT1" i="20" s="1"/>
  <c r="FV1" i="20" s="1"/>
  <c r="FW1" i="20" s="1"/>
  <c r="FX1" i="20" s="1"/>
  <c r="FY1" i="20" s="1"/>
  <c r="FZ1" i="20" s="1"/>
  <c r="GB1" i="20" s="1"/>
  <c r="GC1" i="20" s="1"/>
  <c r="GD1" i="20" s="1"/>
  <c r="GE1" i="20" s="1"/>
  <c r="GF1" i="20" s="1"/>
  <c r="GH1" i="20" s="1"/>
  <c r="GI1" i="20" s="1"/>
  <c r="GJ1" i="20" s="1"/>
  <c r="GK1" i="20" s="1"/>
  <c r="GL1" i="20" s="1"/>
  <c r="GN1" i="20" s="1"/>
  <c r="GO1" i="20" s="1"/>
  <c r="GR1" i="20" s="1"/>
  <c r="GS1" i="20" s="1"/>
  <c r="GT1" i="20" s="1"/>
  <c r="GV1" i="20" s="1"/>
  <c r="BJ14" i="20" l="1"/>
  <c r="BJ28" i="20"/>
  <c r="BJ13" i="20"/>
  <c r="BJ19" i="20"/>
  <c r="BJ20" i="20" s="1"/>
  <c r="BK12" i="20"/>
  <c r="AX14" i="20"/>
  <c r="AX28" i="20"/>
  <c r="AX19" i="20"/>
  <c r="AX20" i="20" s="1"/>
  <c r="AX13" i="20"/>
  <c r="BD14" i="20"/>
  <c r="BD28" i="20"/>
  <c r="BD13" i="20"/>
  <c r="BD19" i="20"/>
  <c r="BD20" i="20" s="1"/>
  <c r="AR14" i="20"/>
  <c r="AR28" i="20"/>
  <c r="AR13" i="20"/>
  <c r="AR19" i="20"/>
  <c r="AR20" i="20" s="1"/>
  <c r="GW1" i="20"/>
  <c r="GX1" i="20" s="1"/>
  <c r="GY1" i="20" s="1"/>
  <c r="GZ1" i="20" s="1"/>
  <c r="HB1" i="20" s="1"/>
  <c r="HC1" i="20" s="1"/>
  <c r="HD1" i="20" s="1"/>
  <c r="HE1" i="20" s="1"/>
  <c r="HF1" i="20" s="1"/>
  <c r="HH1" i="20" s="1"/>
  <c r="HI1" i="20" s="1"/>
  <c r="HJ1" i="20" s="1"/>
  <c r="HK1" i="20" s="1"/>
  <c r="HL1" i="20" s="1"/>
  <c r="HN1" i="20" s="1"/>
  <c r="HO1" i="20" s="1"/>
  <c r="HP1" i="20" s="1"/>
  <c r="HQ1" i="20" s="1"/>
  <c r="HR1" i="20" s="1"/>
  <c r="BK14" i="20" l="1"/>
  <c r="BK18" i="20" s="1"/>
  <c r="BK28" i="20"/>
  <c r="BK19" i="20"/>
  <c r="BK20" i="20" s="1"/>
  <c r="BK13" i="20"/>
  <c r="BK16" i="20" s="1"/>
  <c r="ND12" i="20"/>
  <c r="BD16" i="20"/>
  <c r="BD18" i="20"/>
  <c r="AR16" i="20"/>
  <c r="AR18" i="20"/>
  <c r="BJ16" i="20"/>
  <c r="BJ18" i="20"/>
  <c r="AX16" i="20"/>
  <c r="AX18" i="20"/>
  <c r="HU1" i="20"/>
  <c r="HV1" i="20" s="1"/>
  <c r="HW1" i="20" s="1"/>
  <c r="HX1" i="20" s="1"/>
  <c r="HY1" i="20" s="1"/>
  <c r="IA1" i="20" s="1"/>
  <c r="IB1" i="20" s="1"/>
  <c r="IC1" i="20" s="1"/>
  <c r="ID1" i="20" s="1"/>
  <c r="IE1" i="20" s="1"/>
  <c r="IG1" i="20" s="1"/>
  <c r="IH1" i="20" s="1"/>
  <c r="II1" i="20" s="1"/>
  <c r="IJ1" i="20" s="1"/>
  <c r="IK1" i="20" s="1"/>
  <c r="IM1" i="20" s="1"/>
  <c r="IN1" i="20" s="1"/>
  <c r="IO1" i="20" s="1"/>
  <c r="IP1" i="20" s="1"/>
  <c r="IQ1" i="20" s="1"/>
  <c r="IS1" i="20" s="1"/>
  <c r="IV1" i="20" s="1"/>
  <c r="ND28" i="20" l="1"/>
  <c r="ND13" i="20"/>
  <c r="ND16" i="20" s="1"/>
  <c r="ND14" i="20"/>
  <c r="ND18" i="20" s="1"/>
  <c r="ND19" i="20"/>
  <c r="ND20" i="20" s="1"/>
  <c r="IW1" i="20"/>
  <c r="IX1" i="20" s="1"/>
  <c r="IY1" i="20" l="1"/>
  <c r="JA1" i="20" s="1"/>
  <c r="JB1" i="20" s="1"/>
  <c r="JC1" i="20" s="1"/>
  <c r="JD1" i="20" s="1"/>
  <c r="JE1" i="20" s="1"/>
  <c r="JG1" i="20" s="1"/>
  <c r="JH1" i="20" s="1"/>
  <c r="JI1" i="20" s="1"/>
  <c r="JJ1" i="20" s="1"/>
  <c r="JK1" i="20" s="1"/>
  <c r="JM1" i="20" s="1"/>
  <c r="JN1" i="20" s="1"/>
  <c r="JO1" i="20" s="1"/>
  <c r="JP1" i="20" s="1"/>
  <c r="JQ1" i="20" s="1"/>
  <c r="JS1" i="20" s="1"/>
  <c r="JT1" i="20" l="1"/>
  <c r="JU1" i="20" s="1"/>
  <c r="JX1" i="20" s="1"/>
  <c r="JY1" i="20" l="1"/>
  <c r="KA1" i="20" s="1"/>
  <c r="KB1" i="20" s="1"/>
  <c r="KC1" i="20" s="1"/>
  <c r="KD1" i="20" s="1"/>
  <c r="KE1" i="20" s="1"/>
  <c r="KG1" i="20" s="1"/>
  <c r="KH1" i="20" s="1"/>
  <c r="KI1" i="20" s="1"/>
  <c r="KJ1" i="20" s="1"/>
  <c r="KK1" i="20" s="1"/>
  <c r="KM1" i="20" s="1"/>
  <c r="KN1" i="20" s="1"/>
  <c r="KO1" i="20" s="1"/>
  <c r="KP1" i="20" s="1"/>
  <c r="KQ1" i="20" s="1"/>
  <c r="KS1" i="20" s="1"/>
  <c r="KT1" i="20" s="1"/>
  <c r="KU1" i="20" s="1"/>
  <c r="KV1" i="20" s="1"/>
  <c r="KW1" i="20" s="1"/>
  <c r="KZ1" i="20" s="1"/>
  <c r="LA1" i="20" s="1"/>
  <c r="LB1" i="20" s="1"/>
  <c r="LC1" i="20" s="1"/>
  <c r="LD1" i="20" s="1"/>
  <c r="LF1" i="20" s="1"/>
  <c r="LG1" i="20" s="1"/>
  <c r="LH1" i="20" s="1"/>
  <c r="LI1" i="20" s="1"/>
  <c r="LJ1" i="20" s="1"/>
  <c r="LL1" i="20" s="1"/>
  <c r="LM1" i="20" s="1"/>
  <c r="LN1" i="20" s="1"/>
  <c r="LO1" i="20" s="1"/>
  <c r="LP1" i="20" l="1"/>
  <c r="LR1" i="20" s="1"/>
  <c r="LS1" i="20" s="1"/>
  <c r="LT1" i="20" s="1"/>
  <c r="LU1" i="20" s="1"/>
  <c r="LV1" i="20" s="1"/>
  <c r="MA1" i="20" s="1"/>
  <c r="MB1" i="20" l="1"/>
  <c r="MC1" i="20" s="1"/>
  <c r="LX1" i="20"/>
  <c r="MD1" i="20" l="1"/>
  <c r="MF1" i="20" s="1"/>
  <c r="MG1" i="20" s="1"/>
  <c r="MH1" i="20" s="1"/>
  <c r="MI1" i="20" s="1"/>
  <c r="MJ1" i="20" s="1"/>
  <c r="ML1" i="20" s="1"/>
  <c r="MM1" i="20" s="1"/>
  <c r="MN1" i="20" s="1"/>
  <c r="MO1" i="20" s="1"/>
  <c r="MP1" i="20" s="1"/>
  <c r="MR1" i="20" s="1"/>
  <c r="MS1" i="20" s="1"/>
  <c r="MT1" i="20" s="1"/>
  <c r="MU1" i="20" s="1"/>
  <c r="MV1" i="20" s="1"/>
  <c r="MX1" i="20" s="1"/>
  <c r="MY1" i="20" s="1"/>
  <c r="MZ1" i="20" s="1"/>
  <c r="NA1" i="20" s="1"/>
</calcChain>
</file>

<file path=xl/sharedStrings.xml><?xml version="1.0" encoding="utf-8"?>
<sst xmlns="http://schemas.openxmlformats.org/spreadsheetml/2006/main" count="7270" uniqueCount="979">
  <si>
    <t>Date</t>
  </si>
  <si>
    <t>N°Order</t>
  </si>
  <si>
    <t>Statu</t>
  </si>
  <si>
    <t>Nombre des piéces controlés</t>
  </si>
  <si>
    <t>Nombre des défauts</t>
  </si>
  <si>
    <t>N°QRQC</t>
  </si>
  <si>
    <t>Description du defaut</t>
  </si>
  <si>
    <t>Origine de défaut</t>
  </si>
  <si>
    <t>Prototype</t>
  </si>
  <si>
    <t>N1</t>
  </si>
  <si>
    <t>Pérçage decalé</t>
  </si>
  <si>
    <t>CNC</t>
  </si>
  <si>
    <t>P1</t>
  </si>
  <si>
    <t>Poche moins que la tolérance</t>
  </si>
  <si>
    <t>CAO</t>
  </si>
  <si>
    <t>P2</t>
  </si>
  <si>
    <t>FAO</t>
  </si>
  <si>
    <t>B1</t>
  </si>
  <si>
    <t>HALIM</t>
  </si>
  <si>
    <t>Profondeur non conforme</t>
  </si>
  <si>
    <t>Z fini incorrect</t>
  </si>
  <si>
    <t xml:space="preserve">Cote plus  que la tolérance </t>
  </si>
  <si>
    <t>Piéce NIO</t>
  </si>
  <si>
    <t>KW</t>
  </si>
  <si>
    <t>Janvier</t>
  </si>
  <si>
    <t>Ben Abdessamad Hassen</t>
  </si>
  <si>
    <t>Objectif</t>
  </si>
  <si>
    <t>Duplication</t>
  </si>
  <si>
    <t>Douille serré</t>
  </si>
  <si>
    <t xml:space="preserve">programme non conforme </t>
  </si>
  <si>
    <t>Mars</t>
  </si>
  <si>
    <t>Étiquettes de lignes</t>
  </si>
  <si>
    <t>Total général</t>
  </si>
  <si>
    <t>Mai</t>
  </si>
  <si>
    <t>Piéce non conforme au plan</t>
  </si>
  <si>
    <t>Modification non effectué</t>
  </si>
  <si>
    <t>Piéce manquante</t>
  </si>
  <si>
    <t>Juin</t>
  </si>
  <si>
    <t>Ammari Slim</t>
  </si>
  <si>
    <t>Manque opération</t>
  </si>
  <si>
    <t>Juillet</t>
  </si>
  <si>
    <t>Target</t>
  </si>
  <si>
    <t>Lamage incorecte</t>
  </si>
  <si>
    <t>Septembre</t>
  </si>
  <si>
    <t>Octobre</t>
  </si>
  <si>
    <t>Pérçage moins que la tolérance</t>
  </si>
  <si>
    <t>MONTAGE</t>
  </si>
  <si>
    <t>Etanchéité non fiable</t>
  </si>
  <si>
    <t>N25-0274/24</t>
  </si>
  <si>
    <t xml:space="preserve">Erreur continuité </t>
  </si>
  <si>
    <t>Novembre</t>
  </si>
  <si>
    <t>Face decalé</t>
  </si>
  <si>
    <t>cotation extérieur incorrect</t>
  </si>
  <si>
    <t>N25-0274/118</t>
  </si>
  <si>
    <t>N25-0293/1</t>
  </si>
  <si>
    <t>composant endommagé</t>
  </si>
  <si>
    <t>N25-0277/01</t>
  </si>
  <si>
    <t>N25-0292/03</t>
  </si>
  <si>
    <t>Composant perdu</t>
  </si>
  <si>
    <t>N25-0289/08</t>
  </si>
  <si>
    <t>N25-0274/108</t>
  </si>
  <si>
    <t>FAO incorrecte</t>
  </si>
  <si>
    <t>N25-0303/01</t>
  </si>
  <si>
    <t>Action de correction</t>
  </si>
  <si>
    <t>N25-0310/21</t>
  </si>
  <si>
    <t>N25-0312/1</t>
  </si>
  <si>
    <t>N25-0312/2</t>
  </si>
  <si>
    <t>N25-0310/23</t>
  </si>
  <si>
    <t>N25-0312/7</t>
  </si>
  <si>
    <t>N25-0312/6</t>
  </si>
  <si>
    <t>N25-0312/3</t>
  </si>
  <si>
    <t>N25-0312/4</t>
  </si>
  <si>
    <t>N25-0312/16</t>
  </si>
  <si>
    <t>N25-0312/14</t>
  </si>
  <si>
    <t>N25-0312/5</t>
  </si>
  <si>
    <t>N25-0312/12</t>
  </si>
  <si>
    <t>N25-0310/20</t>
  </si>
  <si>
    <t>N25-0312/17</t>
  </si>
  <si>
    <t>N25-0312/11</t>
  </si>
  <si>
    <t>N25-0310/22</t>
  </si>
  <si>
    <t>N25-0310/4</t>
  </si>
  <si>
    <t>N25-0310/1</t>
  </si>
  <si>
    <t>N25-0312/15</t>
  </si>
  <si>
    <t xml:space="preserve">Cote moins que la tolérance </t>
  </si>
  <si>
    <t>N25-0293/11</t>
  </si>
  <si>
    <t>N25-0310/2</t>
  </si>
  <si>
    <t>N25-0310/13</t>
  </si>
  <si>
    <t>P3</t>
  </si>
  <si>
    <t>Etat du surface non conforme</t>
  </si>
  <si>
    <t>N25-0310/8</t>
  </si>
  <si>
    <t>P1+PEEK</t>
  </si>
  <si>
    <t>N25-0312/8</t>
  </si>
  <si>
    <t>N25-0311/4</t>
  </si>
  <si>
    <t>Pérçage plus que la tolérance</t>
  </si>
  <si>
    <t>N25-0312/9</t>
  </si>
  <si>
    <t>N25-0310/14</t>
  </si>
  <si>
    <t>N1+Peek</t>
  </si>
  <si>
    <t>N25-0293/5</t>
  </si>
  <si>
    <t>N25-0310/7</t>
  </si>
  <si>
    <t>N25-0274/114</t>
  </si>
  <si>
    <t>N25-0310/3</t>
  </si>
  <si>
    <t>N25-0310/5</t>
  </si>
  <si>
    <t>N25-0312/13</t>
  </si>
  <si>
    <t>Qte en cours</t>
  </si>
  <si>
    <t>N25-0311/3</t>
  </si>
  <si>
    <t>N25-0311/2</t>
  </si>
  <si>
    <t>N25-0292/9</t>
  </si>
  <si>
    <t>N25-0287/36</t>
  </si>
  <si>
    <t>N25-0293/21</t>
  </si>
  <si>
    <t>N25-0303/1</t>
  </si>
  <si>
    <t>N25-0297/1</t>
  </si>
  <si>
    <t>N25-0310/12</t>
  </si>
  <si>
    <t>N25-0274/113</t>
  </si>
  <si>
    <t>N25-0001/16</t>
  </si>
  <si>
    <t>N25-0287/1</t>
  </si>
  <si>
    <t>PSD</t>
  </si>
  <si>
    <t>N25-0287/48</t>
  </si>
  <si>
    <t>N26-0001</t>
  </si>
  <si>
    <t>Poche plus que la tolérance</t>
  </si>
  <si>
    <t>N25-0289/4</t>
  </si>
  <si>
    <t>P1+Peek</t>
  </si>
  <si>
    <t>B2+B3</t>
  </si>
  <si>
    <t>N26-0003/4</t>
  </si>
  <si>
    <t>N25-0310/24</t>
  </si>
  <si>
    <t>N25-0293/2</t>
  </si>
  <si>
    <t>N25-0284/3</t>
  </si>
  <si>
    <t>N25-0004/1</t>
  </si>
  <si>
    <t>N25-0287/38</t>
  </si>
  <si>
    <t>N25-0287/53</t>
  </si>
  <si>
    <t>N25-0001/39</t>
  </si>
  <si>
    <t>N25-0310/15</t>
  </si>
  <si>
    <t>N25-0310/18</t>
  </si>
  <si>
    <t>N25-0304/3</t>
  </si>
  <si>
    <t>N26-0001/15</t>
  </si>
  <si>
    <t>N25-0287/40</t>
  </si>
  <si>
    <t>N25-0272/1</t>
  </si>
  <si>
    <t>N25-0272/4</t>
  </si>
  <si>
    <t>N25-0310/6</t>
  </si>
  <si>
    <t>N25-0293/02</t>
  </si>
  <si>
    <t>N25-0304/03</t>
  </si>
  <si>
    <t>N25-0311/03</t>
  </si>
  <si>
    <t>N25-0004/01</t>
  </si>
  <si>
    <t>Controler par2</t>
  </si>
  <si>
    <t>Somme de Nombre des piéces controlés</t>
  </si>
  <si>
    <t>Somme de Nombre des défauts</t>
  </si>
  <si>
    <t>(Tous)</t>
  </si>
  <si>
    <t>réalisation</t>
  </si>
  <si>
    <t>(Plusieurs éléments)</t>
  </si>
  <si>
    <t>Taux de detection</t>
  </si>
  <si>
    <t>%RFT</t>
  </si>
  <si>
    <t>Objectif RFT</t>
  </si>
  <si>
    <t>N25-0293/19</t>
  </si>
  <si>
    <t>Piéce perdue</t>
  </si>
  <si>
    <t>N25-0287/3</t>
  </si>
  <si>
    <t>N25-0001/32</t>
  </si>
  <si>
    <t>N25-0001/13</t>
  </si>
  <si>
    <t>N25-0020/1</t>
  </si>
  <si>
    <t>SOCLE</t>
  </si>
  <si>
    <t xml:space="preserve">PEEK </t>
  </si>
  <si>
    <t>Piéce endommagé</t>
  </si>
  <si>
    <t>N26-0001/28</t>
  </si>
  <si>
    <t>Poche non conforme</t>
  </si>
  <si>
    <t>N26-0001/19</t>
  </si>
  <si>
    <t>N26-0009/1</t>
  </si>
  <si>
    <t>mise en rebut</t>
  </si>
  <si>
    <t>Demande de remplacement</t>
  </si>
  <si>
    <t>refaire l'operation</t>
  </si>
  <si>
    <t>P2,P3</t>
  </si>
  <si>
    <t>D1</t>
  </si>
  <si>
    <t>refaire la piece</t>
  </si>
  <si>
    <t>vérin</t>
  </si>
  <si>
    <t>MMC</t>
  </si>
  <si>
    <t>L'action coorective</t>
  </si>
  <si>
    <t>Total des action coorectives</t>
  </si>
  <si>
    <t>Objectif rebut</t>
  </si>
  <si>
    <t>Pareto des taux des actions de correction/quantité controlé</t>
  </si>
  <si>
    <t>Pareto des taux des actions de correction/nombre totale des fautes</t>
  </si>
  <si>
    <t>Detail de l'action</t>
  </si>
  <si>
    <t>detecter par</t>
  </si>
  <si>
    <t>retour au magasin(microswitch)</t>
  </si>
  <si>
    <t>Amélioration</t>
  </si>
  <si>
    <t>refaire P2</t>
  </si>
  <si>
    <t>Refaire N1(bague tourne libre))</t>
  </si>
  <si>
    <t xml:space="preserve">bague+shalter </t>
  </si>
  <si>
    <t>N25-0311/04</t>
  </si>
  <si>
    <t>manque pièces usinés</t>
  </si>
  <si>
    <t>N25-0287/03</t>
  </si>
  <si>
    <t>refaire cuivre</t>
  </si>
  <si>
    <t>N25-0287/30</t>
  </si>
  <si>
    <t>N2 à refaire</t>
  </si>
  <si>
    <t>N25-0284/07</t>
  </si>
  <si>
    <t>N26-0009/01</t>
  </si>
  <si>
    <t>retour au magasin(shalter)</t>
  </si>
  <si>
    <t>N26-0287/05</t>
  </si>
  <si>
    <t>modif B4</t>
  </si>
  <si>
    <t>N25-0274/111</t>
  </si>
  <si>
    <t>N25-0311/1</t>
  </si>
  <si>
    <t>S1</t>
  </si>
  <si>
    <t>Mnq usinage</t>
  </si>
  <si>
    <t>N25-0001/28</t>
  </si>
  <si>
    <t>N25-0001/26</t>
  </si>
  <si>
    <t xml:space="preserve">Manque Face </t>
  </si>
  <si>
    <t>Mnq face 3</t>
  </si>
  <si>
    <t>P7</t>
  </si>
  <si>
    <t>N25-0287/8</t>
  </si>
  <si>
    <t>Pérçage 3H 7 au lieu de 4</t>
  </si>
  <si>
    <t>N26-0022/1</t>
  </si>
  <si>
    <t>N26-0001/33</t>
  </si>
  <si>
    <t>Défaut programme</t>
  </si>
  <si>
    <t>N26-0001/27</t>
  </si>
  <si>
    <t>P2+P5</t>
  </si>
  <si>
    <t>N25-0287/5</t>
  </si>
  <si>
    <t>N2</t>
  </si>
  <si>
    <t>Pérçage 2,6 au lieu de 3H7</t>
  </si>
  <si>
    <t>N25-0310/10</t>
  </si>
  <si>
    <t>prof pérçage incorrecte</t>
  </si>
  <si>
    <t>N25-0310/16</t>
  </si>
  <si>
    <t>N25-0001/33</t>
  </si>
  <si>
    <t>poche pour insertion peek</t>
  </si>
  <si>
    <t>N25-0310/11</t>
  </si>
  <si>
    <t>N25-0001/27</t>
  </si>
  <si>
    <t>N25-0001/30</t>
  </si>
  <si>
    <t>N25-0296/1</t>
  </si>
  <si>
    <t>P2+P3</t>
  </si>
  <si>
    <t>Manque allésoire</t>
  </si>
  <si>
    <t>N26-0007/2</t>
  </si>
  <si>
    <t xml:space="preserve">PB:Assemblage </t>
  </si>
  <si>
    <t>N26-0001/9</t>
  </si>
  <si>
    <t>N25-0293/27</t>
  </si>
  <si>
    <t xml:space="preserve">B2 </t>
  </si>
  <si>
    <t>programme non conforme +CAO non fiable</t>
  </si>
  <si>
    <t>N25-0309/5</t>
  </si>
  <si>
    <t>P3+P2</t>
  </si>
  <si>
    <t>Poche vérin+poche pour D1</t>
  </si>
  <si>
    <t>Mnq pérçage 1,9</t>
  </si>
  <si>
    <t>Z 5,5 au lieu de 5</t>
  </si>
  <si>
    <t>Piéce endommager</t>
  </si>
  <si>
    <t>mnq finition</t>
  </si>
  <si>
    <t>Pérçage 1,9</t>
  </si>
  <si>
    <t>Poche lamage schtift décalé</t>
  </si>
  <si>
    <t>Face non conforme au plan 2D</t>
  </si>
  <si>
    <t>Diametre 1,1 au lieu de 1</t>
  </si>
  <si>
    <t>Mnq modif</t>
  </si>
  <si>
    <t>PRO INCORRECTE</t>
  </si>
  <si>
    <t>piéce non conforme au plan 2 D</t>
  </si>
  <si>
    <t>prof 3,2 au lieu de 2,2</t>
  </si>
  <si>
    <t>Prof lamage incorrecte+ cote 20 non conforme</t>
  </si>
  <si>
    <t>Prof poche non conforme / douille serré</t>
  </si>
  <si>
    <t>Poche vérin serré</t>
  </si>
  <si>
    <t>Nbr piéce incorrecte</t>
  </si>
  <si>
    <t xml:space="preserve">Piéce à refaire </t>
  </si>
  <si>
    <t>Mnq alésoire2</t>
  </si>
  <si>
    <t>modif P1</t>
  </si>
  <si>
    <t>microswitch</t>
  </si>
  <si>
    <t>chtift</t>
  </si>
  <si>
    <t>N1 à refaire</t>
  </si>
  <si>
    <t>refaire P1</t>
  </si>
  <si>
    <t>Refaire N1</t>
  </si>
  <si>
    <t>couvercle à refaire</t>
  </si>
  <si>
    <t>bague +shalter</t>
  </si>
  <si>
    <t>réparation  B1</t>
  </si>
  <si>
    <t>refaire l'usinage de N1</t>
  </si>
  <si>
    <t>bagues shtift ( Manque de la part du Magasin)</t>
  </si>
  <si>
    <t>modif sur B1</t>
  </si>
  <si>
    <t>vérin endommagé(changement)</t>
  </si>
  <si>
    <t>P2,P3(répartion  sur  machine)</t>
  </si>
  <si>
    <t>Refaire P2</t>
  </si>
  <si>
    <t>Refaire B1</t>
  </si>
  <si>
    <t>refaire l'usinage de D1</t>
  </si>
  <si>
    <t>bagues</t>
  </si>
  <si>
    <t>Refaire N1(manque pièce usinée)</t>
  </si>
  <si>
    <t>shalter</t>
  </si>
  <si>
    <t>Bague</t>
  </si>
  <si>
    <t>B4</t>
  </si>
  <si>
    <t>Contrôle technique</t>
  </si>
  <si>
    <t>Poche pour axe 8</t>
  </si>
  <si>
    <t>N25-0008/1</t>
  </si>
  <si>
    <t>Pérçage 2H7 décalé +endommagement</t>
  </si>
  <si>
    <t>N25-0287/41</t>
  </si>
  <si>
    <t>N25-0013/1</t>
  </si>
  <si>
    <t>Poche douille serré</t>
  </si>
  <si>
    <t>N25-0013/2</t>
  </si>
  <si>
    <t>N25-0295/1</t>
  </si>
  <si>
    <t>matiére perdu</t>
  </si>
  <si>
    <t>Languere 100 au lieu de 99</t>
  </si>
  <si>
    <t>N26-0001/10</t>
  </si>
  <si>
    <t>contrôle technique</t>
  </si>
  <si>
    <t>N26-0310/10</t>
  </si>
  <si>
    <t>N26-0013/02</t>
  </si>
  <si>
    <t>N26-0309/05</t>
  </si>
  <si>
    <t>refaire P4</t>
  </si>
  <si>
    <t>P4</t>
  </si>
  <si>
    <t>type technique du defaut</t>
  </si>
  <si>
    <t>N25-0023/3</t>
  </si>
  <si>
    <t>N25-0296/4</t>
  </si>
  <si>
    <t>N25-0005/1</t>
  </si>
  <si>
    <t>Clips serré</t>
  </si>
  <si>
    <t>poche pour clips moins que la tolérance</t>
  </si>
  <si>
    <t>N25-0007/1</t>
  </si>
  <si>
    <t>N25-0310/9</t>
  </si>
  <si>
    <t>Non conforme au plan 2 D</t>
  </si>
  <si>
    <t>N25-0025/2</t>
  </si>
  <si>
    <t>Mnq pérçage 4,5</t>
  </si>
  <si>
    <t>N25-0310/25</t>
  </si>
  <si>
    <t>N25-0001/29</t>
  </si>
  <si>
    <t>Longuer 100 au lieu de 99,5</t>
  </si>
  <si>
    <t>N25-0309/1</t>
  </si>
  <si>
    <t>Endommagement en cours d'usinage</t>
  </si>
  <si>
    <t>N25-0287/37</t>
  </si>
  <si>
    <t>N26-0003/1</t>
  </si>
  <si>
    <t>N26-0020/2</t>
  </si>
  <si>
    <t>Pérçage1,9 pour schalter schift</t>
  </si>
  <si>
    <t>N26-0001/7</t>
  </si>
  <si>
    <t>Profondeur poche vérin 17mm au lieu de 17,5mm</t>
  </si>
  <si>
    <t>N25-0282/1</t>
  </si>
  <si>
    <t>Poche vérin</t>
  </si>
  <si>
    <t>N26-0001/40</t>
  </si>
  <si>
    <t>N26-0025/1</t>
  </si>
  <si>
    <t>N26-0001/20</t>
  </si>
  <si>
    <t>N26-0027/1</t>
  </si>
  <si>
    <t>N26-0001/17</t>
  </si>
  <si>
    <t>N26-0006/1</t>
  </si>
  <si>
    <t>N26-0005/1</t>
  </si>
  <si>
    <t>N25-0002/2</t>
  </si>
  <si>
    <t>poche vérin serré</t>
  </si>
  <si>
    <t>N25-0014/1</t>
  </si>
  <si>
    <t>qts *2</t>
  </si>
  <si>
    <t>N25-0014/2</t>
  </si>
  <si>
    <t>N25-0015/6</t>
  </si>
  <si>
    <t xml:space="preserve">Face inversé </t>
  </si>
  <si>
    <t>Piéce non conforme au plan 2 D</t>
  </si>
  <si>
    <t>N25-0028/3</t>
  </si>
  <si>
    <t>Assemblage mécanique</t>
  </si>
  <si>
    <t>N26-0006/01</t>
  </si>
  <si>
    <t>Serrage /coincement</t>
  </si>
  <si>
    <t>goupille cuivre non conforme</t>
  </si>
  <si>
    <t>N26-0003/03</t>
  </si>
  <si>
    <t>bague</t>
  </si>
  <si>
    <t>shtift</t>
  </si>
  <si>
    <t>N26-0025/02</t>
  </si>
  <si>
    <t>Refaire B2</t>
  </si>
  <si>
    <t>N26-0005/01</t>
  </si>
  <si>
    <t>Bague2</t>
  </si>
  <si>
    <t>N26-0284/07</t>
  </si>
  <si>
    <t>Problème présence</t>
  </si>
  <si>
    <t>modif sur P1</t>
  </si>
  <si>
    <t>Détection Longuette non effecasse</t>
  </si>
  <si>
    <t>contre-partie " Clips/douille" non montable</t>
  </si>
  <si>
    <t>Profondeur "Z" non correcte</t>
  </si>
  <si>
    <t>usinage incorrecte</t>
  </si>
  <si>
    <t>element manquant</t>
  </si>
  <si>
    <t>Pièce rebut</t>
  </si>
  <si>
    <t>Shtift</t>
  </si>
  <si>
    <t>CAO incorrecte</t>
  </si>
  <si>
    <t>N26-0289/2</t>
  </si>
  <si>
    <t>N26-0002/2</t>
  </si>
  <si>
    <t>N25-0289/2</t>
  </si>
  <si>
    <t>refaire N1</t>
  </si>
  <si>
    <t>N26-0015/06</t>
  </si>
  <si>
    <t>modif  P2 (couvercle  manque  emplacement tète vis)</t>
  </si>
  <si>
    <t>N26-0001/30</t>
  </si>
  <si>
    <t>N26-0001/14</t>
  </si>
  <si>
    <t>Manque alésoire 3</t>
  </si>
  <si>
    <t>N26-0015/3</t>
  </si>
  <si>
    <t>N25-0001/38</t>
  </si>
  <si>
    <t>N25-0018/14</t>
  </si>
  <si>
    <t>mnq lamage de fixation</t>
  </si>
  <si>
    <t>N25-0296/6</t>
  </si>
  <si>
    <t>N25-0304/1</t>
  </si>
  <si>
    <t>Prof lamage incorrecte 12,2 au lieu de 13,2</t>
  </si>
  <si>
    <t>cao non conforme</t>
  </si>
  <si>
    <t>N26-0014/2</t>
  </si>
  <si>
    <t>refaire S1</t>
  </si>
  <si>
    <t>Mois</t>
  </si>
  <si>
    <t>Tested good</t>
  </si>
  <si>
    <t>KW02</t>
  </si>
  <si>
    <t>KW03</t>
  </si>
  <si>
    <t>KW04</t>
  </si>
  <si>
    <t>KW05</t>
  </si>
  <si>
    <t>KW06</t>
  </si>
  <si>
    <t>KW07</t>
  </si>
  <si>
    <t>KW08</t>
  </si>
  <si>
    <t>Fevrier</t>
  </si>
  <si>
    <t>KW09</t>
  </si>
  <si>
    <t>KW10</t>
  </si>
  <si>
    <t>KW11</t>
  </si>
  <si>
    <t>KW12</t>
  </si>
  <si>
    <t>KW13</t>
  </si>
  <si>
    <t>KW14</t>
  </si>
  <si>
    <t>KW15</t>
  </si>
  <si>
    <t>KW16</t>
  </si>
  <si>
    <t>Avril</t>
  </si>
  <si>
    <t>KW17</t>
  </si>
  <si>
    <t>KW18</t>
  </si>
  <si>
    <t>KW19</t>
  </si>
  <si>
    <t>KW20</t>
  </si>
  <si>
    <t>KW21</t>
  </si>
  <si>
    <t>KW22</t>
  </si>
  <si>
    <t>KW23</t>
  </si>
  <si>
    <t>KW24</t>
  </si>
  <si>
    <t>KW25</t>
  </si>
  <si>
    <t>KW26</t>
  </si>
  <si>
    <t>KW27</t>
  </si>
  <si>
    <t>KW28</t>
  </si>
  <si>
    <t>KW29</t>
  </si>
  <si>
    <t>KW30</t>
  </si>
  <si>
    <t>KW31</t>
  </si>
  <si>
    <t>KW32</t>
  </si>
  <si>
    <t>KW33</t>
  </si>
  <si>
    <t>KW34</t>
  </si>
  <si>
    <t>Aout</t>
  </si>
  <si>
    <t>KW35</t>
  </si>
  <si>
    <t>KW36</t>
  </si>
  <si>
    <t>KW38</t>
  </si>
  <si>
    <t>KW40</t>
  </si>
  <si>
    <t>KW41</t>
  </si>
  <si>
    <t>KW42</t>
  </si>
  <si>
    <t>KW43</t>
  </si>
  <si>
    <t>KW44</t>
  </si>
  <si>
    <t>KW45</t>
  </si>
  <si>
    <t>KW46</t>
  </si>
  <si>
    <t>KW47</t>
  </si>
  <si>
    <t>KW48</t>
  </si>
  <si>
    <t>KW49</t>
  </si>
  <si>
    <t>KW50</t>
  </si>
  <si>
    <t>KW51</t>
  </si>
  <si>
    <t>KW52</t>
  </si>
  <si>
    <t>KW53</t>
  </si>
  <si>
    <t>Decembre</t>
  </si>
  <si>
    <t>KW37</t>
  </si>
  <si>
    <t>Nbe des pieces CNC</t>
  </si>
  <si>
    <t>Objectif % pieces</t>
  </si>
  <si>
    <t>N25-0296/3</t>
  </si>
  <si>
    <t>N25-0309/9</t>
  </si>
  <si>
    <t>N26-0018/2</t>
  </si>
  <si>
    <t>N26-0001/21</t>
  </si>
  <si>
    <t>N25-0309/8</t>
  </si>
  <si>
    <t>Mnq poche Xcode</t>
  </si>
  <si>
    <t>N26-0001/35</t>
  </si>
  <si>
    <t>N25-0289/19</t>
  </si>
  <si>
    <t>B3</t>
  </si>
  <si>
    <t>Prog incorrecte (gamme)</t>
  </si>
  <si>
    <t>N25-9999/8</t>
  </si>
  <si>
    <t>N25-0029/1</t>
  </si>
  <si>
    <t>Prof poche douille incorrecte</t>
  </si>
  <si>
    <t>N26-0309/18</t>
  </si>
  <si>
    <t>modif sur pièces</t>
  </si>
  <si>
    <t>N26-0309/09</t>
  </si>
  <si>
    <t>refaire P1+P3</t>
  </si>
  <si>
    <t>modif sur P3</t>
  </si>
  <si>
    <t>refaire B2</t>
  </si>
  <si>
    <t>P3+P1</t>
  </si>
  <si>
    <t>Cumul tested Good</t>
  </si>
  <si>
    <t>Montage électrique incorrect</t>
  </si>
  <si>
    <t>vérifier étamage des pins</t>
  </si>
  <si>
    <t>N25-0288/90</t>
  </si>
  <si>
    <t>N25-0001/21</t>
  </si>
  <si>
    <t>Modif B1+B2</t>
  </si>
  <si>
    <t>N26-0018/06</t>
  </si>
  <si>
    <t>Modif sur N1</t>
  </si>
  <si>
    <t>N26-0028/3</t>
  </si>
  <si>
    <t>N26-0023/4</t>
  </si>
  <si>
    <t>Pérçage zonzor</t>
  </si>
  <si>
    <t>N26-0003/3</t>
  </si>
  <si>
    <t>N26-0028/4</t>
  </si>
  <si>
    <t>B1+B2</t>
  </si>
  <si>
    <t xml:space="preserve">Manque opération </t>
  </si>
  <si>
    <t>Mnq chenfrein</t>
  </si>
  <si>
    <t>N25-0309/3</t>
  </si>
  <si>
    <t>N26-0018/6</t>
  </si>
  <si>
    <t>N26-0011/1</t>
  </si>
  <si>
    <t>N25-0006/1</t>
  </si>
  <si>
    <t>N25-0019/4</t>
  </si>
  <si>
    <t>N25-0016/7</t>
  </si>
  <si>
    <t xml:space="preserve">prog incorrecte </t>
  </si>
  <si>
    <t>N25-0024/1</t>
  </si>
  <si>
    <t>N25-0029/10</t>
  </si>
  <si>
    <t>N25-0018/7</t>
  </si>
  <si>
    <t>refair B1</t>
  </si>
  <si>
    <t>Branchement electrique non conforme</t>
  </si>
  <si>
    <t>année</t>
  </si>
  <si>
    <t>Delivered Test Modules</t>
  </si>
  <si>
    <t>Number of test modules to be delivered</t>
  </si>
  <si>
    <t>Revenue from sales of test modules in euro</t>
  </si>
  <si>
    <t>Estimated revenue will come from sales of test modules</t>
  </si>
  <si>
    <t>Number of CNC</t>
  </si>
  <si>
    <t>MMC Head count</t>
  </si>
  <si>
    <t>N26-0016/07</t>
  </si>
  <si>
    <t>modif sur P1+N1</t>
  </si>
  <si>
    <t>refaire B1</t>
  </si>
  <si>
    <t>Prof lamage incorrecte 6,7 au lieu de 8,2</t>
  </si>
  <si>
    <t>N25-0001/35</t>
  </si>
  <si>
    <t>Mal usiner</t>
  </si>
  <si>
    <t>Surfaçage non conforme</t>
  </si>
  <si>
    <t>N25-0006/3</t>
  </si>
  <si>
    <t>N25-0001/3</t>
  </si>
  <si>
    <t>N25-0016/3</t>
  </si>
  <si>
    <t>Manque pièce</t>
  </si>
  <si>
    <t>N25-0029/7</t>
  </si>
  <si>
    <t>à vérifier CAO</t>
  </si>
  <si>
    <t>N25-0002/3</t>
  </si>
  <si>
    <t>prog incorrecte</t>
  </si>
  <si>
    <t>N26-0016/6</t>
  </si>
  <si>
    <t xml:space="preserve">pérçage pour bagues diàmétre1 </t>
  </si>
  <si>
    <t>N26-0016/1</t>
  </si>
  <si>
    <t>N26-0016/5</t>
  </si>
  <si>
    <t>N26-0018/19</t>
  </si>
  <si>
    <t>N26-0015/2</t>
  </si>
  <si>
    <t>N26-0018/22</t>
  </si>
  <si>
    <t>Mnq alésoire4,65H7</t>
  </si>
  <si>
    <t>N26-0019/23</t>
  </si>
  <si>
    <t>N26-0038/11</t>
  </si>
  <si>
    <t>N26-0024/01</t>
  </si>
  <si>
    <t>refaire B1+P1+P2</t>
  </si>
  <si>
    <t>N26-0002/11</t>
  </si>
  <si>
    <t>modif sur S1</t>
  </si>
  <si>
    <t>N26-0289/18</t>
  </si>
  <si>
    <t>modif sur B1+B2(PB:insertion douille)</t>
  </si>
  <si>
    <t>N26-0028/23</t>
  </si>
  <si>
    <t>2 bagues+shtift</t>
  </si>
  <si>
    <t>N25-0006/2</t>
  </si>
  <si>
    <t>Péce cassé</t>
  </si>
  <si>
    <t>N25-0038/54</t>
  </si>
  <si>
    <t>N25-0038/58</t>
  </si>
  <si>
    <t>N25-0002/11</t>
  </si>
  <si>
    <t>N25-0001/6</t>
  </si>
  <si>
    <t>Cote non conforme au plan 2 D</t>
  </si>
  <si>
    <t>N25-0038/23</t>
  </si>
  <si>
    <t>N26-0038/16</t>
  </si>
  <si>
    <t>N1+P2</t>
  </si>
  <si>
    <t>Poche joint</t>
  </si>
  <si>
    <t>Profondeur poche joint</t>
  </si>
  <si>
    <t>N26-0038/57</t>
  </si>
  <si>
    <t xml:space="preserve">Poche douille  </t>
  </si>
  <si>
    <t>N26-0038/41</t>
  </si>
  <si>
    <t>Poche bus d'air</t>
  </si>
  <si>
    <t>N26-0038/38</t>
  </si>
  <si>
    <t>Pérçage pour micro switch</t>
  </si>
  <si>
    <t>N26-0038/40</t>
  </si>
  <si>
    <t>B1+P1+P2</t>
  </si>
  <si>
    <t>Leoni Saving via MMC-Test-Modul</t>
  </si>
  <si>
    <t>N26-0293/27</t>
  </si>
  <si>
    <t>mise à longueur du shalter-stift (longueur )</t>
  </si>
  <si>
    <t>N26-0001/06</t>
  </si>
  <si>
    <t>N26-0282/01</t>
  </si>
  <si>
    <t>Modif B1</t>
  </si>
  <si>
    <t>N26-0038/32</t>
  </si>
  <si>
    <t>Problème maintien</t>
  </si>
  <si>
    <t>retour au CNC (poche couvercle)</t>
  </si>
  <si>
    <t>N25-0038/24</t>
  </si>
  <si>
    <t>N25-0038/18</t>
  </si>
  <si>
    <t>N25-0038/55</t>
  </si>
  <si>
    <t>N25-0038/30</t>
  </si>
  <si>
    <t>N25-0038/17</t>
  </si>
  <si>
    <t>N25-0289/11</t>
  </si>
  <si>
    <t>Probléme insertion douille</t>
  </si>
  <si>
    <t>cote moins que la tolérance</t>
  </si>
  <si>
    <t>N25-0038/45</t>
  </si>
  <si>
    <t>N25-0038/32</t>
  </si>
  <si>
    <t>N26-0038/22</t>
  </si>
  <si>
    <t>Mnq fraise 3</t>
  </si>
  <si>
    <t>N26-0038/7</t>
  </si>
  <si>
    <t>N26-0038/28</t>
  </si>
  <si>
    <t>N26-0038/29</t>
  </si>
  <si>
    <t>N26-0002/8</t>
  </si>
  <si>
    <t>Poche douille</t>
  </si>
  <si>
    <t>Lamage schift décalé</t>
  </si>
  <si>
    <t>N26-0038/6</t>
  </si>
  <si>
    <t>PB assemblage vérin10</t>
  </si>
  <si>
    <t>N26-0010/2</t>
  </si>
  <si>
    <t>Profondeur poche napp</t>
  </si>
  <si>
    <t>Poche pour cuivre</t>
  </si>
  <si>
    <t>Année</t>
  </si>
  <si>
    <t>Quantité livrer</t>
  </si>
  <si>
    <t>Février</t>
  </si>
  <si>
    <t>Août</t>
  </si>
  <si>
    <t>Décembre</t>
  </si>
  <si>
    <t>YTD</t>
  </si>
  <si>
    <t>Valeur moyenne de la periode 2018--2025</t>
  </si>
  <si>
    <t>Nombre des defauts interne</t>
  </si>
  <si>
    <t>Taux d'erreur interne</t>
  </si>
  <si>
    <t>Target d'erreur interne</t>
  </si>
  <si>
    <t>Nombre des defauts externe</t>
  </si>
  <si>
    <t>Taux d'erreur externe</t>
  </si>
  <si>
    <t>Target d'erreurexterne</t>
  </si>
  <si>
    <t>Quantity Target</t>
  </si>
  <si>
    <t>Objectif % module</t>
  </si>
  <si>
    <t>Quantity intervention limit</t>
  </si>
  <si>
    <t>NQ Cost %</t>
  </si>
  <si>
    <t>% NQC</t>
  </si>
  <si>
    <t>%NQC target</t>
  </si>
  <si>
    <t>N26-0038/17</t>
  </si>
  <si>
    <t>Couvercle (STD)</t>
  </si>
  <si>
    <t>N26-0002/08</t>
  </si>
  <si>
    <t>Perçage decalé</t>
  </si>
  <si>
    <t>refaire N2</t>
  </si>
  <si>
    <t>Couvercle</t>
  </si>
  <si>
    <t>N25-0038/44</t>
  </si>
  <si>
    <t>N25-0038/20</t>
  </si>
  <si>
    <t>N25-0038/53</t>
  </si>
  <si>
    <t>PB : insertion B1</t>
  </si>
  <si>
    <t>N25-0001/24</t>
  </si>
  <si>
    <t>N25-0038/12</t>
  </si>
  <si>
    <t>N25-0289/6</t>
  </si>
  <si>
    <t>N25-0038/39</t>
  </si>
  <si>
    <t>N25-0038/10</t>
  </si>
  <si>
    <t>N25-0038/2</t>
  </si>
  <si>
    <t>N25-0038/7</t>
  </si>
  <si>
    <t>N26-0038/35</t>
  </si>
  <si>
    <t>N26-0038/31</t>
  </si>
  <si>
    <t>N26-0018/12</t>
  </si>
  <si>
    <t>N26-0038/56</t>
  </si>
  <si>
    <t>programme non conforme</t>
  </si>
  <si>
    <t>Profondeur foret à centrer non conforme</t>
  </si>
  <si>
    <t>N26-0001/23</t>
  </si>
  <si>
    <t>N26-0018/17</t>
  </si>
  <si>
    <t>N26-0030/1</t>
  </si>
  <si>
    <t>Nbr of failure CNC</t>
  </si>
  <si>
    <t>Nbr of failure assembly</t>
  </si>
  <si>
    <t>Étiquettes de colonnes</t>
  </si>
  <si>
    <t>Total Somme de Nombre des piéces controlés</t>
  </si>
  <si>
    <t>Total Somme de Nombre des défauts</t>
  </si>
  <si>
    <t>RFT-CNC</t>
  </si>
  <si>
    <t>RFT-Assemby</t>
  </si>
  <si>
    <t>Objectif RFT-CNC</t>
  </si>
  <si>
    <t>Objectif RFT-Assembly</t>
  </si>
  <si>
    <t>Taux d'erreur Assembly</t>
  </si>
  <si>
    <t>RFT-MMC</t>
  </si>
  <si>
    <t>Taux d'erreur MMC</t>
  </si>
  <si>
    <t>Objectif RFT-MMC</t>
  </si>
  <si>
    <t>Objectif % MMC</t>
  </si>
  <si>
    <t>N26-0038/07</t>
  </si>
  <si>
    <t>mq pièéces usinées (faire l'usinage de P2)</t>
  </si>
  <si>
    <t>refaire (N2+Peek)</t>
  </si>
  <si>
    <t>N25-0309/6</t>
  </si>
  <si>
    <t>N25-0038/4</t>
  </si>
  <si>
    <t>N25-0023/2</t>
  </si>
  <si>
    <t>N25-0002/6</t>
  </si>
  <si>
    <t>N25-0001/18</t>
  </si>
  <si>
    <t>N25-0038/22</t>
  </si>
  <si>
    <t>N26-0038/34</t>
  </si>
  <si>
    <t>Profondeur lamage schift</t>
  </si>
  <si>
    <t>N26-0002/10</t>
  </si>
  <si>
    <t>N26-0001/4</t>
  </si>
  <si>
    <t>N26-0016/2</t>
  </si>
  <si>
    <t>N26-0038/9</t>
  </si>
  <si>
    <t>N26-0015/4</t>
  </si>
  <si>
    <t>N26-0001/34</t>
  </si>
  <si>
    <t>N26-0019/12</t>
  </si>
  <si>
    <t>N26-0018/9</t>
  </si>
  <si>
    <t>N26-0038/33</t>
  </si>
  <si>
    <t>N26-0002/4</t>
  </si>
  <si>
    <t>N26-0034/3</t>
  </si>
  <si>
    <t>N25-0038/1</t>
  </si>
  <si>
    <t>N25-0037/1</t>
  </si>
  <si>
    <t>N25-0040/2</t>
  </si>
  <si>
    <t>douille serré</t>
  </si>
  <si>
    <t>N25-0002/5</t>
  </si>
  <si>
    <t>N25-0289/15</t>
  </si>
  <si>
    <t xml:space="preserve">Mnq socle </t>
  </si>
  <si>
    <t>magazin</t>
  </si>
  <si>
    <t>N25-0289/10</t>
  </si>
  <si>
    <t>Prof ( 12 ) pour lamage  incorrecte</t>
  </si>
  <si>
    <t>N25-0002/9</t>
  </si>
  <si>
    <t>refaire B1(longueur du P1 inssufisant)</t>
  </si>
  <si>
    <t>N26-0037/2</t>
  </si>
  <si>
    <t>N26-0044/3</t>
  </si>
  <si>
    <t>N26-0038/19</t>
  </si>
  <si>
    <t>N26-0001/18</t>
  </si>
  <si>
    <t>N26-0038/59</t>
  </si>
  <si>
    <t>N26-0038/4</t>
  </si>
  <si>
    <t>N26-0038/13</t>
  </si>
  <si>
    <t>B1+P2</t>
  </si>
  <si>
    <t>N26-0038/43</t>
  </si>
  <si>
    <t>N25-0016/4</t>
  </si>
  <si>
    <t>N25-0289/14</t>
  </si>
  <si>
    <t>N25-0038/46</t>
  </si>
  <si>
    <t>prof 3,2 au lieu de 2,5</t>
  </si>
  <si>
    <t>N25-0002/1</t>
  </si>
  <si>
    <t>modif sur D1+p1 et refaire B1</t>
  </si>
  <si>
    <t>modif sur N1</t>
  </si>
  <si>
    <t>N26-0309/03</t>
  </si>
  <si>
    <t>PB Détrempage</t>
  </si>
  <si>
    <t>refaire P1+P2</t>
  </si>
  <si>
    <t>D1; B1 et P1</t>
  </si>
  <si>
    <t>P1+P2</t>
  </si>
  <si>
    <t>Finish Good</t>
  </si>
  <si>
    <t>Répartition des faute</t>
  </si>
  <si>
    <t>Taux d'ereur CNC  par Module</t>
  </si>
  <si>
    <t>Efficacité-CNC</t>
  </si>
  <si>
    <t>Taux d'ereur CNC par piece</t>
  </si>
  <si>
    <t>Déchet</t>
  </si>
  <si>
    <t>PCR/PRL</t>
  </si>
  <si>
    <t>Prototyping</t>
  </si>
  <si>
    <t>N26-0038/1</t>
  </si>
  <si>
    <t>N25-289/5</t>
  </si>
  <si>
    <t>Cote fonctionnel non conforme</t>
  </si>
  <si>
    <t>Profondeur poche necurone incorrecte</t>
  </si>
  <si>
    <t>N1+P1</t>
  </si>
  <si>
    <t>N26-0018/8</t>
  </si>
  <si>
    <t>N26-0038/36</t>
  </si>
  <si>
    <t>N26-0002/1</t>
  </si>
  <si>
    <t>N26-0038/25</t>
  </si>
  <si>
    <t xml:space="preserve">Cote non conforme  </t>
  </si>
  <si>
    <t>N26-0028/1</t>
  </si>
  <si>
    <t>N25-0038/42</t>
  </si>
  <si>
    <t>N25-0289/7</t>
  </si>
  <si>
    <t>N25-0018/4</t>
  </si>
  <si>
    <t>N25-0028/1</t>
  </si>
  <si>
    <t>P1/B1</t>
  </si>
  <si>
    <t>Pb : insertion douille</t>
  </si>
  <si>
    <t>N25-0010/1</t>
  </si>
  <si>
    <t>Prog incorrecte</t>
  </si>
  <si>
    <t>N25-0038/35</t>
  </si>
  <si>
    <t>N25-0018/21</t>
  </si>
  <si>
    <t>Lamage decalé</t>
  </si>
  <si>
    <t>N26-0289/10</t>
  </si>
  <si>
    <t>Pièce endommagée</t>
  </si>
  <si>
    <t>P1 à refaire</t>
  </si>
  <si>
    <t>Inox à refaire</t>
  </si>
  <si>
    <t>Cumul Prototyping</t>
  </si>
  <si>
    <t>Consomation outillage</t>
  </si>
  <si>
    <t>N26-0045/1</t>
  </si>
  <si>
    <t>N26-0038/27</t>
  </si>
  <si>
    <t>Poche axe8</t>
  </si>
  <si>
    <t>N26-0038/8</t>
  </si>
  <si>
    <t>N26-0038/37</t>
  </si>
  <si>
    <t>N26-0010/1</t>
  </si>
  <si>
    <t>Mnq lamage vis</t>
  </si>
  <si>
    <t>N26-0038/21</t>
  </si>
  <si>
    <t>N25-0304/4</t>
  </si>
  <si>
    <t>N25-0038/5</t>
  </si>
  <si>
    <t>Piéce rndommager</t>
  </si>
  <si>
    <t>N25-0038/13</t>
  </si>
  <si>
    <t>N25-0038/8</t>
  </si>
  <si>
    <t>PB : maintien</t>
  </si>
  <si>
    <t>N25-0018/1</t>
  </si>
  <si>
    <t>Cimco incorrecte</t>
  </si>
  <si>
    <t>N25-0296/2</t>
  </si>
  <si>
    <t>N25-0289/17</t>
  </si>
  <si>
    <t>Usinage incomplet</t>
  </si>
  <si>
    <t>N26-0038/50</t>
  </si>
  <si>
    <t>N26-0038/26</t>
  </si>
  <si>
    <t>N26-0038/51</t>
  </si>
  <si>
    <t>N26-0019/24</t>
  </si>
  <si>
    <t>N25-0289/9</t>
  </si>
  <si>
    <t>N26-0038/3</t>
  </si>
  <si>
    <t>N26-0001/36</t>
  </si>
  <si>
    <t>B5</t>
  </si>
  <si>
    <t>N25-0018/5</t>
  </si>
  <si>
    <t>Mnq pérçage 1,4</t>
  </si>
  <si>
    <t>N25-0038/14</t>
  </si>
  <si>
    <t>N25-0031/1</t>
  </si>
  <si>
    <t>N25-0038/49</t>
  </si>
  <si>
    <t>N25-0038/15</t>
  </si>
  <si>
    <t>N26-0038/05</t>
  </si>
  <si>
    <t>manque perçage pour shalter-shtift(D1)</t>
  </si>
  <si>
    <t>refaire pièces</t>
  </si>
  <si>
    <t>N25-0038/51</t>
  </si>
  <si>
    <t>N25-0038/48</t>
  </si>
  <si>
    <t>Poche tete vis non conforme</t>
  </si>
  <si>
    <t>N25-0038/47</t>
  </si>
  <si>
    <t>N25-0289/13</t>
  </si>
  <si>
    <t>N25-0038/3</t>
  </si>
  <si>
    <t>N25-0038/52</t>
  </si>
  <si>
    <t>N25-0001/36</t>
  </si>
  <si>
    <t>N25-0018/18</t>
  </si>
  <si>
    <t>peek</t>
  </si>
  <si>
    <t>N26-0052/2</t>
  </si>
  <si>
    <t>Pérçage D2,5 pour vérin decalé</t>
  </si>
  <si>
    <t>N26-0018/7</t>
  </si>
  <si>
    <t>N26-0019/9</t>
  </si>
  <si>
    <t>N25-0289/3</t>
  </si>
  <si>
    <t>Poche vérin+alésoire2</t>
  </si>
  <si>
    <t>N26-0018/18</t>
  </si>
  <si>
    <t>Poche micro switch</t>
  </si>
  <si>
    <t>P1+N1</t>
  </si>
  <si>
    <t>N26-0043/4</t>
  </si>
  <si>
    <t>cuivre</t>
  </si>
  <si>
    <t>N25-0018/11</t>
  </si>
  <si>
    <t>N25-0043/6</t>
  </si>
  <si>
    <t>N25-0018/6</t>
  </si>
  <si>
    <t>N25-0043/2</t>
  </si>
  <si>
    <t>N25-0040/1</t>
  </si>
  <si>
    <t>N25-0015/5</t>
  </si>
  <si>
    <t>Prog non conforme</t>
  </si>
  <si>
    <t>N26-0042/2</t>
  </si>
  <si>
    <t>N26-0040/1</t>
  </si>
  <si>
    <t>N26-0002/7</t>
  </si>
  <si>
    <t>Poche vérin+alésoire2+àlésoire3,5</t>
  </si>
  <si>
    <t>N26-0015/1</t>
  </si>
  <si>
    <t>N26-0019/16</t>
  </si>
  <si>
    <t>N25-0289/18</t>
  </si>
  <si>
    <t>N26-0051/5</t>
  </si>
  <si>
    <t>N26-0018/11</t>
  </si>
  <si>
    <t>N1 (manque lamage+perçage)</t>
  </si>
  <si>
    <t>Perçage plus que la tolérance</t>
  </si>
  <si>
    <t>N26-0038/14</t>
  </si>
  <si>
    <t>modif PEEK</t>
  </si>
  <si>
    <t>N25-0042/6</t>
  </si>
  <si>
    <t>N25-0019/10</t>
  </si>
  <si>
    <t>2 h7 au lieu de 3H7</t>
  </si>
  <si>
    <t>N25-0051/5</t>
  </si>
  <si>
    <t>N25-0047/3</t>
  </si>
  <si>
    <t>N25-0051/3</t>
  </si>
  <si>
    <t>N25-0018/3</t>
  </si>
  <si>
    <t>N25-0046/1</t>
  </si>
  <si>
    <t>N25-0029/12</t>
  </si>
  <si>
    <t>N25-0053/2</t>
  </si>
  <si>
    <t>N26-0029/22</t>
  </si>
  <si>
    <t>N26-0046/2</t>
  </si>
  <si>
    <t>N26-0001/37</t>
  </si>
  <si>
    <t>N26-0019/5</t>
  </si>
  <si>
    <t>modif sur (P1+B1)</t>
  </si>
  <si>
    <t>refaire et modif sur pièces</t>
  </si>
  <si>
    <t>N26-0032/01</t>
  </si>
  <si>
    <t>shalter endommagé</t>
  </si>
  <si>
    <t>P1 + B1</t>
  </si>
  <si>
    <t>N1+B2 et B3</t>
  </si>
  <si>
    <t>N25-0042/4</t>
  </si>
  <si>
    <t>N25-0019/11</t>
  </si>
  <si>
    <t>N25-0019/17</t>
  </si>
  <si>
    <t xml:space="preserve">psd </t>
  </si>
  <si>
    <t>mnq modif</t>
  </si>
  <si>
    <t>N25-0023/1</t>
  </si>
  <si>
    <t>N25-0042/1</t>
  </si>
  <si>
    <t>N26-0035/4</t>
  </si>
  <si>
    <t>Pérçage 3,5H 7  au lieu de 3H7</t>
  </si>
  <si>
    <t>N25-0293/6</t>
  </si>
  <si>
    <t>N26-0001/32</t>
  </si>
  <si>
    <t>N26-0033/1</t>
  </si>
  <si>
    <t>N26-0032/1</t>
  </si>
  <si>
    <t>N26-0046/01</t>
  </si>
  <si>
    <t>N25-0274/37</t>
  </si>
  <si>
    <t>N25-0046/02</t>
  </si>
  <si>
    <t>Modif sur(P1+P2+P3)</t>
  </si>
  <si>
    <t>N25-0002/09</t>
  </si>
  <si>
    <t>P1 (endommagement du pièces)</t>
  </si>
  <si>
    <t>P1+P2+P3</t>
  </si>
  <si>
    <t>N26-0054/1</t>
  </si>
  <si>
    <t>N26-0028/2</t>
  </si>
  <si>
    <t>N26-0051/4</t>
  </si>
  <si>
    <t>N26-0019/6</t>
  </si>
  <si>
    <t>N26-0055/25</t>
  </si>
  <si>
    <t>N26-0042/3</t>
  </si>
  <si>
    <t>N26-0029/6</t>
  </si>
  <si>
    <t>N26-0019/19</t>
  </si>
  <si>
    <t>N25-0287/51</t>
  </si>
  <si>
    <t>N26-0019/13</t>
  </si>
  <si>
    <t>N26-0029/04</t>
  </si>
  <si>
    <t>choix des pinns incorrect</t>
  </si>
  <si>
    <t>N26-0019/10</t>
  </si>
  <si>
    <t>N26-0019/06</t>
  </si>
  <si>
    <t>2 bagues+2 shtift</t>
  </si>
  <si>
    <t>Taux de prototypage</t>
  </si>
  <si>
    <t>N26-0049/2</t>
  </si>
  <si>
    <t>N26-0055/29</t>
  </si>
  <si>
    <t>N26-0019/14</t>
  </si>
  <si>
    <t>N26-0019/7</t>
  </si>
  <si>
    <t>N26-0051/1</t>
  </si>
  <si>
    <t>N25-0287/20</t>
  </si>
  <si>
    <t>N26-0041/1</t>
  </si>
  <si>
    <t>N26-0049/4</t>
  </si>
  <si>
    <t>N25-0274/7</t>
  </si>
  <si>
    <t>N 1</t>
  </si>
  <si>
    <t>Chenfrein non conforme</t>
  </si>
  <si>
    <t>N26-0056/4</t>
  </si>
  <si>
    <t>N26-0049/3</t>
  </si>
  <si>
    <t>N26-0274/130</t>
  </si>
  <si>
    <t>N26-0029/8</t>
  </si>
  <si>
    <t>N26-0055/37</t>
  </si>
  <si>
    <t>Pérçage 2 H7 incorrecte</t>
  </si>
  <si>
    <t>N26-0055/22</t>
  </si>
  <si>
    <t>N26-0029/12</t>
  </si>
  <si>
    <t>Poche pour lamage incorrecte</t>
  </si>
  <si>
    <t xml:space="preserve"> bagues</t>
  </si>
  <si>
    <t>N26-0054/01</t>
  </si>
  <si>
    <t>N26-0051/01</t>
  </si>
  <si>
    <t>Refaire D1</t>
  </si>
  <si>
    <t>N26-0049/1</t>
  </si>
  <si>
    <t>N26-0055/1</t>
  </si>
  <si>
    <t>Pérçage D4 ,5 non conforme</t>
  </si>
  <si>
    <t>Pérçage D4 non conforme</t>
  </si>
  <si>
    <t>Cover</t>
  </si>
  <si>
    <t>Poche clips</t>
  </si>
  <si>
    <t>N26-0055/36</t>
  </si>
  <si>
    <t>Wajdi chatti</t>
  </si>
  <si>
    <t>N25-0274/1</t>
  </si>
  <si>
    <t>N26-0055/7</t>
  </si>
  <si>
    <t xml:space="preserve">PB : assemblage </t>
  </si>
  <si>
    <t>N26-0055/24</t>
  </si>
  <si>
    <t>N26-0055/33</t>
  </si>
  <si>
    <t>N26-0044/2</t>
  </si>
  <si>
    <t>Mnq pérçage de fixation</t>
  </si>
  <si>
    <t>N26-0274/91</t>
  </si>
  <si>
    <t>P4 mnq usinage</t>
  </si>
  <si>
    <t>N26-0029/11</t>
  </si>
  <si>
    <t>N26-0055/4</t>
  </si>
  <si>
    <t>Poche pour plexiglace</t>
  </si>
  <si>
    <t>PB : passage chalter</t>
  </si>
  <si>
    <t>N26-0050/3</t>
  </si>
  <si>
    <t>N26-0019/22</t>
  </si>
  <si>
    <t>N26-0050/2</t>
  </si>
  <si>
    <t>manque centrage (ajout centrage)</t>
  </si>
  <si>
    <t>N25-0274/130</t>
  </si>
  <si>
    <t>N25-0274/07</t>
  </si>
  <si>
    <t>Modif sur N1(manque fixation vérin)</t>
  </si>
  <si>
    <t>N26-0036/5</t>
  </si>
  <si>
    <t>Pérçage 5,8 non conforme</t>
  </si>
  <si>
    <t>N26-0055/10</t>
  </si>
  <si>
    <t>lamage non conforme</t>
  </si>
  <si>
    <t>N26-0029/19</t>
  </si>
  <si>
    <t>b1</t>
  </si>
  <si>
    <t>N26-0050/1</t>
  </si>
  <si>
    <t>Mnq chenfrien</t>
  </si>
  <si>
    <t>N26-0029/15</t>
  </si>
  <si>
    <t>N26-0018/23</t>
  </si>
  <si>
    <t>N26-0039/5</t>
  </si>
  <si>
    <t>N26-0036/8</t>
  </si>
  <si>
    <t>N26-0055/23</t>
  </si>
  <si>
    <t>N26-0029/23</t>
  </si>
  <si>
    <t>N26-0043/8</t>
  </si>
  <si>
    <t>N26-0029/3</t>
  </si>
  <si>
    <t>N26-0047/1</t>
  </si>
  <si>
    <t>N26-0018/13</t>
  </si>
  <si>
    <t>N26-0019/2</t>
  </si>
  <si>
    <t>N26-0036/1</t>
  </si>
  <si>
    <t>Mnq opération</t>
  </si>
  <si>
    <t>N26-0026/1</t>
  </si>
  <si>
    <t>N26-0050/01</t>
  </si>
  <si>
    <t>modif socle</t>
  </si>
  <si>
    <t>refaire B1 et modif sur P1+P2</t>
  </si>
  <si>
    <t>N26-0055/01</t>
  </si>
  <si>
    <t>Refaire P1</t>
  </si>
  <si>
    <t>Piéce conforme</t>
  </si>
  <si>
    <t>N26-0055/28</t>
  </si>
  <si>
    <t>Quantité non conforme</t>
  </si>
  <si>
    <t>N25-0274/124</t>
  </si>
  <si>
    <t>Poche cuivre</t>
  </si>
  <si>
    <t>N25-0274/100</t>
  </si>
  <si>
    <t>N25-0274/125</t>
  </si>
  <si>
    <t>N25-0274/126</t>
  </si>
  <si>
    <t>N25-0274/44</t>
  </si>
  <si>
    <t>N26-0055/11</t>
  </si>
  <si>
    <t>N25-0274/41</t>
  </si>
  <si>
    <t>N26-0055/27</t>
  </si>
  <si>
    <t>N25-0274/86</t>
  </si>
  <si>
    <t>N26-0055/19</t>
  </si>
  <si>
    <t>N26-0029/18</t>
  </si>
  <si>
    <t>N26-0055/34</t>
  </si>
  <si>
    <t>N26-0019/15</t>
  </si>
  <si>
    <t>Prof lamage moins que la tolérance</t>
  </si>
  <si>
    <t>N26-0055/21</t>
  </si>
  <si>
    <t>ajout perçage pour activation</t>
  </si>
  <si>
    <t>N26-0043/08</t>
  </si>
  <si>
    <t>retour au M,cam(P1)</t>
  </si>
  <si>
    <t>N25-0296/02</t>
  </si>
  <si>
    <t>refaire pince</t>
  </si>
  <si>
    <t>N26-0029/03</t>
  </si>
  <si>
    <t>Nbr des pieces incorrecte</t>
  </si>
  <si>
    <t>N26-0029/20</t>
  </si>
  <si>
    <t>N26-0029/5</t>
  </si>
  <si>
    <t>N26-0036/6</t>
  </si>
  <si>
    <t>Poche X code</t>
  </si>
  <si>
    <t>N26-0055/14</t>
  </si>
  <si>
    <t xml:space="preserve">PSD </t>
  </si>
  <si>
    <t>N26-0047/2</t>
  </si>
  <si>
    <t>N26-0055/26</t>
  </si>
  <si>
    <t>poche NAPP</t>
  </si>
  <si>
    <t>N25-0289/12</t>
  </si>
  <si>
    <t>N26-0036/4</t>
  </si>
  <si>
    <t>N26-0055/41</t>
  </si>
  <si>
    <t>N26-0029/17</t>
  </si>
  <si>
    <t>N26-0274/13</t>
  </si>
  <si>
    <t>N26-0274/98</t>
  </si>
  <si>
    <t>N26-0029/13</t>
  </si>
  <si>
    <t>goupille de détection</t>
  </si>
  <si>
    <t>N25-0029/18</t>
  </si>
  <si>
    <t>Quantity stretch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</si>
</sst>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;[Red]\-#,##0\ &quot;€&quot;"/>
    <numFmt numFmtId="165" formatCode="d/m/yy;@"/>
    <numFmt numFmtId="166" formatCode="#,##0\ &quot;€&quot;"/>
    <numFmt numFmtId="167" formatCode="#,##0.00\ &quot;€&quot;"/>
  </numFmts>
  <fonts count="16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i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9" fillId="0" borderId="0" applyFont="0" applyFill="0" applyBorder="0" applyAlignment="0" applyProtection="0"/>
  </cellStyleXfs>
  <cellXfs count="40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14" fontId="0" fillId="0" borderId="0" xfId="0" applyNumberFormat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5" xfId="2" applyNumberFormat="1" applyFont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3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6" borderId="5" xfId="0" applyNumberFormat="1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 vertical="center"/>
    </xf>
    <xf numFmtId="14" fontId="0" fillId="8" borderId="5" xfId="0" applyNumberFormat="1" applyFill="1" applyBorder="1" applyAlignment="1">
      <alignment horizontal="center" vertical="center"/>
    </xf>
    <xf numFmtId="14" fontId="0" fillId="9" borderId="5" xfId="0" applyNumberFormat="1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center" vertical="center"/>
    </xf>
    <xf numFmtId="14" fontId="0" fillId="11" borderId="5" xfId="0" applyNumberFormat="1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14" fontId="0" fillId="12" borderId="5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13" fillId="14" borderId="10" xfId="0" applyNumberFormat="1" applyFont="1" applyFill="1" applyBorder="1" applyAlignment="1">
      <alignment horizontal="center" vertical="center"/>
    </xf>
    <xf numFmtId="164" fontId="13" fillId="14" borderId="19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13" fillId="14" borderId="12" xfId="0" applyNumberFormat="1" applyFont="1" applyFill="1" applyBorder="1" applyAlignment="1">
      <alignment horizontal="center" vertical="center"/>
    </xf>
    <xf numFmtId="164" fontId="13" fillId="14" borderId="20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22" xfId="0" applyBorder="1" applyAlignment="1">
      <alignment vertical="center"/>
    </xf>
    <xf numFmtId="0" fontId="0" fillId="4" borderId="2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0" fontId="0" fillId="4" borderId="24" xfId="2" applyNumberFormat="1" applyFont="1" applyFill="1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10" fontId="0" fillId="15" borderId="24" xfId="2" applyNumberFormat="1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0" fontId="0" fillId="6" borderId="24" xfId="2" applyNumberFormat="1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10" fontId="0" fillId="9" borderId="24" xfId="2" applyNumberFormat="1" applyFont="1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 wrapText="1"/>
    </xf>
    <xf numFmtId="0" fontId="0" fillId="16" borderId="21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10" fontId="0" fillId="16" borderId="24" xfId="2" applyNumberFormat="1" applyFont="1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 wrapText="1"/>
    </xf>
    <xf numFmtId="0" fontId="0" fillId="17" borderId="21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10" fontId="0" fillId="17" borderId="24" xfId="2" applyNumberFormat="1" applyFont="1" applyFill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 wrapText="1"/>
    </xf>
    <xf numFmtId="0" fontId="0" fillId="18" borderId="21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10" fontId="0" fillId="18" borderId="24" xfId="2" applyNumberFormat="1" applyFont="1" applyFill="1" applyBorder="1" applyAlignment="1">
      <alignment horizontal="center" vertical="center"/>
    </xf>
    <xf numFmtId="0" fontId="0" fillId="19" borderId="23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 wrapText="1"/>
    </xf>
    <xf numFmtId="0" fontId="0" fillId="19" borderId="21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10" fontId="0" fillId="19" borderId="24" xfId="2" applyNumberFormat="1" applyFont="1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 wrapText="1"/>
    </xf>
    <xf numFmtId="0" fontId="0" fillId="10" borderId="2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0" fontId="0" fillId="10" borderId="24" xfId="2" applyNumberFormat="1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 wrapText="1"/>
    </xf>
    <xf numFmtId="0" fontId="0" fillId="20" borderId="21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10" fontId="0" fillId="20" borderId="24" xfId="2" applyNumberFormat="1" applyFont="1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8" xfId="0" applyFill="1" applyBorder="1" applyAlignment="1">
      <alignment horizontal="center" vertical="center" wrapText="1"/>
    </xf>
    <xf numFmtId="0" fontId="0" fillId="21" borderId="21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10" fontId="0" fillId="21" borderId="24" xfId="2" applyNumberFormat="1" applyFont="1" applyFill="1" applyBorder="1" applyAlignment="1">
      <alignment horizontal="center" vertical="center"/>
    </xf>
    <xf numFmtId="0" fontId="0" fillId="22" borderId="23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 wrapText="1"/>
    </xf>
    <xf numFmtId="0" fontId="0" fillId="22" borderId="2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10" fontId="0" fillId="22" borderId="24" xfId="2" applyNumberFormat="1" applyFont="1" applyFill="1" applyBorder="1" applyAlignment="1">
      <alignment horizontal="center" vertical="center"/>
    </xf>
    <xf numFmtId="10" fontId="0" fillId="22" borderId="29" xfId="2" applyNumberFormat="1" applyFont="1" applyFill="1" applyBorder="1" applyAlignment="1">
      <alignment horizontal="center" vertical="center"/>
    </xf>
    <xf numFmtId="0" fontId="0" fillId="23" borderId="23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 wrapText="1"/>
    </xf>
    <xf numFmtId="0" fontId="0" fillId="23" borderId="21" xfId="0" applyFill="1" applyBorder="1" applyAlignment="1">
      <alignment horizontal="center" vertical="center"/>
    </xf>
    <xf numFmtId="10" fontId="0" fillId="23" borderId="21" xfId="2" applyNumberFormat="1" applyFont="1" applyFill="1" applyBorder="1" applyAlignment="1">
      <alignment horizontal="center" vertical="center"/>
    </xf>
    <xf numFmtId="9" fontId="0" fillId="23" borderId="24" xfId="0" applyNumberForma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 wrapText="1"/>
    </xf>
    <xf numFmtId="2" fontId="0" fillId="4" borderId="10" xfId="0" applyNumberFormat="1" applyFill="1" applyBorder="1" applyAlignment="1">
      <alignment horizontal="center" vertical="center"/>
    </xf>
    <xf numFmtId="2" fontId="0" fillId="4" borderId="24" xfId="2" applyNumberFormat="1" applyFont="1" applyFill="1" applyBorder="1" applyAlignment="1">
      <alignment horizontal="center" vertical="center"/>
    </xf>
    <xf numFmtId="2" fontId="0" fillId="15" borderId="10" xfId="0" applyNumberFormat="1" applyFill="1" applyBorder="1" applyAlignment="1">
      <alignment horizontal="center" vertical="center"/>
    </xf>
    <xf numFmtId="2" fontId="0" fillId="15" borderId="24" xfId="2" applyNumberFormat="1" applyFont="1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2" fontId="0" fillId="6" borderId="24" xfId="2" applyNumberFormat="1" applyFont="1" applyFill="1" applyBorder="1" applyAlignment="1">
      <alignment horizontal="center" vertical="center"/>
    </xf>
    <xf numFmtId="2" fontId="0" fillId="9" borderId="10" xfId="0" applyNumberFormat="1" applyFill="1" applyBorder="1" applyAlignment="1">
      <alignment horizontal="center" vertical="center"/>
    </xf>
    <xf numFmtId="2" fontId="0" fillId="9" borderId="24" xfId="2" applyNumberFormat="1" applyFont="1" applyFill="1" applyBorder="1" applyAlignment="1">
      <alignment horizontal="center" vertical="center"/>
    </xf>
    <xf numFmtId="2" fontId="0" fillId="16" borderId="10" xfId="0" applyNumberFormat="1" applyFill="1" applyBorder="1" applyAlignment="1">
      <alignment horizontal="center" vertical="center"/>
    </xf>
    <xf numFmtId="2" fontId="0" fillId="16" borderId="24" xfId="2" applyNumberFormat="1" applyFont="1" applyFill="1" applyBorder="1" applyAlignment="1">
      <alignment horizontal="center" vertical="center"/>
    </xf>
    <xf numFmtId="2" fontId="0" fillId="17" borderId="10" xfId="0" applyNumberFormat="1" applyFill="1" applyBorder="1" applyAlignment="1">
      <alignment horizontal="center" vertical="center"/>
    </xf>
    <xf numFmtId="2" fontId="0" fillId="17" borderId="24" xfId="2" applyNumberFormat="1" applyFont="1" applyFill="1" applyBorder="1" applyAlignment="1">
      <alignment horizontal="center" vertical="center"/>
    </xf>
    <xf numFmtId="2" fontId="0" fillId="18" borderId="10" xfId="0" applyNumberFormat="1" applyFill="1" applyBorder="1" applyAlignment="1">
      <alignment horizontal="center" vertical="center"/>
    </xf>
    <xf numFmtId="2" fontId="0" fillId="18" borderId="24" xfId="2" applyNumberFormat="1" applyFont="1" applyFill="1" applyBorder="1" applyAlignment="1">
      <alignment horizontal="center" vertical="center"/>
    </xf>
    <xf numFmtId="2" fontId="0" fillId="19" borderId="10" xfId="0" applyNumberFormat="1" applyFill="1" applyBorder="1" applyAlignment="1">
      <alignment horizontal="center" vertical="center"/>
    </xf>
    <xf numFmtId="2" fontId="0" fillId="19" borderId="24" xfId="2" applyNumberFormat="1" applyFont="1" applyFill="1" applyBorder="1" applyAlignment="1">
      <alignment horizontal="center" vertical="center"/>
    </xf>
    <xf numFmtId="2" fontId="0" fillId="10" borderId="10" xfId="0" applyNumberFormat="1" applyFill="1" applyBorder="1" applyAlignment="1">
      <alignment horizontal="center" vertical="center"/>
    </xf>
    <xf numFmtId="2" fontId="0" fillId="10" borderId="24" xfId="2" applyNumberFormat="1" applyFont="1" applyFill="1" applyBorder="1" applyAlignment="1">
      <alignment horizontal="center" vertical="center"/>
    </xf>
    <xf numFmtId="2" fontId="0" fillId="20" borderId="10" xfId="0" applyNumberFormat="1" applyFill="1" applyBorder="1" applyAlignment="1">
      <alignment horizontal="center" vertical="center"/>
    </xf>
    <xf numFmtId="2" fontId="0" fillId="20" borderId="24" xfId="2" applyNumberFormat="1" applyFont="1" applyFill="1" applyBorder="1" applyAlignment="1">
      <alignment horizontal="center" vertical="center"/>
    </xf>
    <xf numFmtId="2" fontId="0" fillId="21" borderId="10" xfId="0" applyNumberFormat="1" applyFill="1" applyBorder="1" applyAlignment="1">
      <alignment horizontal="center" vertical="center"/>
    </xf>
    <xf numFmtId="2" fontId="0" fillId="21" borderId="24" xfId="2" applyNumberFormat="1" applyFont="1" applyFill="1" applyBorder="1" applyAlignment="1">
      <alignment horizontal="center" vertical="center"/>
    </xf>
    <xf numFmtId="2" fontId="0" fillId="22" borderId="10" xfId="0" applyNumberFormat="1" applyFill="1" applyBorder="1" applyAlignment="1">
      <alignment horizontal="center" vertical="center"/>
    </xf>
    <xf numFmtId="2" fontId="0" fillId="22" borderId="24" xfId="2" applyNumberFormat="1" applyFont="1" applyFill="1" applyBorder="1" applyAlignment="1">
      <alignment horizontal="center" vertical="center"/>
    </xf>
    <xf numFmtId="2" fontId="0" fillId="23" borderId="10" xfId="0" applyNumberFormat="1" applyFill="1" applyBorder="1" applyAlignment="1">
      <alignment horizontal="center" vertical="center"/>
    </xf>
    <xf numFmtId="2" fontId="0" fillId="0" borderId="0" xfId="0" applyNumberFormat="1"/>
    <xf numFmtId="1" fontId="0" fillId="23" borderId="10" xfId="0" applyNumberFormat="1" applyFill="1" applyBorder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15" borderId="25" xfId="0" applyFill="1" applyBorder="1" applyAlignment="1">
      <alignment horizontal="center" vertical="center" wrapText="1"/>
    </xf>
    <xf numFmtId="0" fontId="0" fillId="15" borderId="26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0" fillId="16" borderId="26" xfId="0" applyFill="1" applyBorder="1" applyAlignment="1">
      <alignment horizontal="center" vertical="center" wrapText="1"/>
    </xf>
    <xf numFmtId="0" fontId="0" fillId="17" borderId="25" xfId="0" applyFill="1" applyBorder="1" applyAlignment="1">
      <alignment horizontal="center" vertical="center" wrapText="1"/>
    </xf>
    <xf numFmtId="0" fontId="0" fillId="17" borderId="26" xfId="0" applyFill="1" applyBorder="1" applyAlignment="1">
      <alignment horizontal="center" vertical="center" wrapText="1"/>
    </xf>
    <xf numFmtId="0" fontId="0" fillId="18" borderId="25" xfId="0" applyFill="1" applyBorder="1" applyAlignment="1">
      <alignment horizontal="center" vertical="center" wrapText="1"/>
    </xf>
    <xf numFmtId="0" fontId="0" fillId="18" borderId="26" xfId="0" applyFill="1" applyBorder="1" applyAlignment="1">
      <alignment horizontal="center" vertical="center" wrapText="1"/>
    </xf>
    <xf numFmtId="0" fontId="0" fillId="19" borderId="25" xfId="0" applyFill="1" applyBorder="1" applyAlignment="1">
      <alignment horizontal="center" vertical="center" wrapText="1"/>
    </xf>
    <xf numFmtId="0" fontId="0" fillId="19" borderId="26" xfId="0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0" fontId="0" fillId="20" borderId="25" xfId="0" applyFill="1" applyBorder="1" applyAlignment="1">
      <alignment horizontal="center" vertical="center" wrapText="1"/>
    </xf>
    <xf numFmtId="0" fontId="0" fillId="20" borderId="26" xfId="0" applyFill="1" applyBorder="1" applyAlignment="1">
      <alignment horizontal="center" vertical="center" wrapText="1"/>
    </xf>
    <xf numFmtId="0" fontId="0" fillId="21" borderId="25" xfId="0" applyFill="1" applyBorder="1" applyAlignment="1">
      <alignment horizontal="center" vertical="center" wrapText="1"/>
    </xf>
    <xf numFmtId="0" fontId="0" fillId="21" borderId="26" xfId="0" applyFill="1" applyBorder="1" applyAlignment="1">
      <alignment horizontal="center" vertical="center" wrapText="1"/>
    </xf>
    <xf numFmtId="0" fontId="0" fillId="22" borderId="25" xfId="0" applyFill="1" applyBorder="1" applyAlignment="1">
      <alignment horizontal="center" vertical="center" wrapText="1"/>
    </xf>
    <xf numFmtId="0" fontId="0" fillId="22" borderId="26" xfId="0" applyFill="1" applyBorder="1" applyAlignment="1">
      <alignment horizontal="center" vertical="center" wrapText="1"/>
    </xf>
    <xf numFmtId="0" fontId="0" fillId="23" borderId="25" xfId="0" applyFill="1" applyBorder="1" applyAlignment="1">
      <alignment horizontal="center" vertical="center" wrapText="1"/>
    </xf>
    <xf numFmtId="0" fontId="0" fillId="23" borderId="26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23" borderId="24" xfId="0" applyNumberFormat="1" applyFill="1" applyBorder="1" applyAlignment="1">
      <alignment horizontal="center" vertical="center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10" fontId="0" fillId="4" borderId="10" xfId="2" applyNumberFormat="1" applyFont="1" applyFill="1" applyBorder="1" applyAlignment="1">
      <alignment horizontal="center" vertical="center"/>
    </xf>
    <xf numFmtId="10" fontId="0" fillId="20" borderId="10" xfId="2" applyNumberFormat="1" applyFont="1" applyFill="1" applyBorder="1" applyAlignment="1">
      <alignment horizontal="center" vertical="center"/>
    </xf>
    <xf numFmtId="10" fontId="0" fillId="22" borderId="10" xfId="2" applyNumberFormat="1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 wrapText="1"/>
    </xf>
    <xf numFmtId="10" fontId="0" fillId="12" borderId="10" xfId="2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 wrapText="1"/>
    </xf>
    <xf numFmtId="0" fontId="0" fillId="24" borderId="25" xfId="0" applyFill="1" applyBorder="1" applyAlignment="1">
      <alignment horizontal="center" vertical="center" wrapText="1"/>
    </xf>
    <xf numFmtId="10" fontId="0" fillId="24" borderId="10" xfId="2" applyNumberFormat="1" applyFont="1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10" fontId="0" fillId="5" borderId="10" xfId="2" applyNumberFormat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25" borderId="25" xfId="0" applyFill="1" applyBorder="1" applyAlignment="1">
      <alignment horizontal="center" vertical="center" wrapText="1"/>
    </xf>
    <xf numFmtId="10" fontId="0" fillId="25" borderId="10" xfId="2" applyNumberFormat="1" applyFont="1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 wrapText="1"/>
    </xf>
    <xf numFmtId="10" fontId="0" fillId="0" borderId="5" xfId="2" applyNumberFormat="1" applyFont="1" applyBorder="1"/>
    <xf numFmtId="0" fontId="12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0" borderId="33" xfId="0" applyBorder="1" applyAlignment="1">
      <alignment vertical="center" wrapText="1"/>
    </xf>
    <xf numFmtId="0" fontId="0" fillId="0" borderId="32" xfId="0" applyBorder="1" applyAlignment="1">
      <alignment horizontal="center" vertical="center"/>
    </xf>
    <xf numFmtId="166" fontId="5" fillId="4" borderId="34" xfId="1" applyNumberFormat="1" applyFill="1" applyBorder="1" applyAlignment="1">
      <alignment horizontal="center" vertical="center"/>
    </xf>
    <xf numFmtId="166" fontId="5" fillId="4" borderId="25" xfId="1" applyNumberFormat="1" applyFill="1" applyBorder="1" applyAlignment="1">
      <alignment horizontal="center" vertical="center"/>
    </xf>
    <xf numFmtId="166" fontId="5" fillId="4" borderId="27" xfId="1" applyNumberForma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10" fontId="0" fillId="4" borderId="19" xfId="2" applyNumberFormat="1" applyFont="1" applyFill="1" applyBorder="1" applyAlignment="1">
      <alignment horizontal="center" vertical="center"/>
    </xf>
    <xf numFmtId="10" fontId="0" fillId="4" borderId="17" xfId="2" applyNumberFormat="1" applyFont="1" applyFill="1" applyBorder="1" applyAlignment="1">
      <alignment horizontal="center" vertical="center"/>
    </xf>
    <xf numFmtId="10" fontId="0" fillId="4" borderId="18" xfId="2" applyNumberFormat="1" applyFont="1" applyFill="1" applyBorder="1" applyAlignment="1">
      <alignment horizontal="center" vertical="center"/>
    </xf>
    <xf numFmtId="166" fontId="5" fillId="24" borderId="27" xfId="1" applyNumberFormat="1" applyFill="1" applyBorder="1" applyAlignment="1">
      <alignment horizontal="center" vertical="center"/>
    </xf>
    <xf numFmtId="166" fontId="5" fillId="5" borderId="27" xfId="1" applyNumberFormat="1" applyFill="1" applyBorder="1" applyAlignment="1">
      <alignment horizontal="center" vertical="center"/>
    </xf>
    <xf numFmtId="166" fontId="5" fillId="25" borderId="27" xfId="1" applyNumberFormat="1" applyFill="1" applyBorder="1" applyAlignment="1">
      <alignment horizontal="center" vertical="center"/>
    </xf>
    <xf numFmtId="166" fontId="5" fillId="10" borderId="27" xfId="1" applyNumberFormat="1" applyFill="1" applyBorder="1" applyAlignment="1">
      <alignment horizontal="center" vertical="center"/>
    </xf>
    <xf numFmtId="166" fontId="5" fillId="12" borderId="27" xfId="1" applyNumberForma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 wrapText="1"/>
    </xf>
    <xf numFmtId="10" fontId="0" fillId="8" borderId="10" xfId="2" applyNumberFormat="1" applyFont="1" applyFill="1" applyBorder="1" applyAlignment="1">
      <alignment horizontal="center" vertical="center"/>
    </xf>
    <xf numFmtId="166" fontId="5" fillId="8" borderId="27" xfId="1" applyNumberFormat="1" applyFill="1" applyBorder="1" applyAlignment="1">
      <alignment horizontal="center" vertical="center"/>
    </xf>
    <xf numFmtId="166" fontId="5" fillId="20" borderId="27" xfId="1" applyNumberFormat="1" applyFill="1" applyBorder="1" applyAlignment="1">
      <alignment horizontal="center" vertical="center"/>
    </xf>
    <xf numFmtId="10" fontId="0" fillId="10" borderId="10" xfId="2" applyNumberFormat="1" applyFont="1" applyFill="1" applyBorder="1" applyAlignment="1">
      <alignment horizontal="center" vertical="center"/>
    </xf>
    <xf numFmtId="166" fontId="5" fillId="22" borderId="27" xfId="1" applyNumberFormat="1" applyFill="1" applyBorder="1" applyAlignment="1">
      <alignment horizontal="center" vertical="center"/>
    </xf>
    <xf numFmtId="0" fontId="0" fillId="27" borderId="25" xfId="0" applyFill="1" applyBorder="1" applyAlignment="1">
      <alignment horizontal="center" vertical="center" wrapText="1"/>
    </xf>
    <xf numFmtId="10" fontId="0" fillId="27" borderId="10" xfId="2" applyNumberFormat="1" applyFont="1" applyFill="1" applyBorder="1" applyAlignment="1">
      <alignment horizontal="center" vertical="center"/>
    </xf>
    <xf numFmtId="166" fontId="5" fillId="27" borderId="27" xfId="1" applyNumberFormat="1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 wrapText="1"/>
    </xf>
    <xf numFmtId="10" fontId="0" fillId="10" borderId="23" xfId="2" applyNumberFormat="1" applyFont="1" applyFill="1" applyBorder="1" applyAlignment="1">
      <alignment horizontal="center" vertical="center"/>
    </xf>
    <xf numFmtId="0" fontId="0" fillId="28" borderId="25" xfId="0" applyFill="1" applyBorder="1" applyAlignment="1">
      <alignment horizontal="center" vertical="center" wrapText="1"/>
    </xf>
    <xf numFmtId="10" fontId="0" fillId="28" borderId="10" xfId="2" applyNumberFormat="1" applyFont="1" applyFill="1" applyBorder="1" applyAlignment="1">
      <alignment horizontal="center" vertical="center"/>
    </xf>
    <xf numFmtId="166" fontId="5" fillId="28" borderId="27" xfId="1" applyNumberFormat="1" applyFill="1" applyBorder="1" applyAlignment="1">
      <alignment horizontal="center" vertical="center"/>
    </xf>
    <xf numFmtId="0" fontId="0" fillId="28" borderId="26" xfId="0" applyFill="1" applyBorder="1" applyAlignment="1">
      <alignment horizontal="center" vertical="center" wrapText="1"/>
    </xf>
    <xf numFmtId="10" fontId="0" fillId="28" borderId="17" xfId="2" applyNumberFormat="1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 wrapText="1"/>
    </xf>
    <xf numFmtId="10" fontId="0" fillId="8" borderId="17" xfId="2" applyNumberFormat="1" applyFon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15" fillId="26" borderId="35" xfId="0" applyFont="1" applyFill="1" applyBorder="1" applyAlignment="1">
      <alignment horizontal="center" vertical="center"/>
    </xf>
    <xf numFmtId="0" fontId="0" fillId="25" borderId="35" xfId="0" applyFill="1" applyBorder="1" applyAlignment="1">
      <alignment horizontal="center" vertical="center"/>
    </xf>
    <xf numFmtId="0" fontId="0" fillId="22" borderId="35" xfId="0" applyFill="1" applyBorder="1" applyAlignment="1">
      <alignment horizontal="center" vertical="center"/>
    </xf>
    <xf numFmtId="0" fontId="0" fillId="10" borderId="35" xfId="0" applyFill="1" applyBorder="1" applyAlignment="1">
      <alignment horizontal="center" vertical="center"/>
    </xf>
    <xf numFmtId="0" fontId="0" fillId="20" borderId="35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29" borderId="35" xfId="0" applyFill="1" applyBorder="1" applyAlignment="1">
      <alignment horizontal="center" vertical="center"/>
    </xf>
    <xf numFmtId="0" fontId="0" fillId="24" borderId="35" xfId="0" applyFill="1" applyBorder="1" applyAlignment="1">
      <alignment horizontal="center" vertical="center"/>
    </xf>
    <xf numFmtId="2" fontId="0" fillId="10" borderId="35" xfId="0" applyNumberFormat="1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2" fontId="0" fillId="8" borderId="35" xfId="0" applyNumberFormat="1" applyFill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0" fontId="0" fillId="0" borderId="0" xfId="2" applyNumberFormat="1" applyFont="1" applyAlignment="1">
      <alignment horizontal="center" wrapText="1"/>
    </xf>
    <xf numFmtId="0" fontId="0" fillId="4" borderId="0" xfId="0" applyFill="1" applyAlignment="1">
      <alignment horizontal="center" vertical="center"/>
    </xf>
    <xf numFmtId="10" fontId="0" fillId="4" borderId="0" xfId="2" applyNumberFormat="1" applyFont="1" applyFill="1" applyBorder="1" applyAlignment="1">
      <alignment horizontal="center" vertical="center"/>
    </xf>
    <xf numFmtId="166" fontId="5" fillId="8" borderId="0" xfId="1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0" fontId="0" fillId="8" borderId="0" xfId="2" applyNumberFormat="1" applyFont="1" applyFill="1" applyBorder="1" applyAlignment="1">
      <alignment horizontal="center" vertical="center"/>
    </xf>
    <xf numFmtId="166" fontId="5" fillId="28" borderId="0" xfId="1" applyNumberFormat="1" applyFill="1" applyAlignment="1">
      <alignment horizontal="center" vertical="center"/>
    </xf>
    <xf numFmtId="0" fontId="15" fillId="26" borderId="0" xfId="0" applyFont="1" applyFill="1" applyAlignment="1">
      <alignment horizontal="center" vertical="center"/>
    </xf>
    <xf numFmtId="166" fontId="5" fillId="5" borderId="0" xfId="1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6" fontId="5" fillId="25" borderId="0" xfId="1" applyNumberForma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6" fontId="5" fillId="10" borderId="0" xfId="1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66" fontId="5" fillId="24" borderId="0" xfId="1" applyNumberForma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166" fontId="5" fillId="27" borderId="0" xfId="1" applyNumberFormat="1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166" fontId="5" fillId="12" borderId="0" xfId="1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10" fontId="0" fillId="12" borderId="0" xfId="2" applyNumberFormat="1" applyFont="1" applyFill="1" applyBorder="1" applyAlignment="1">
      <alignment horizontal="center" vertical="center"/>
    </xf>
    <xf numFmtId="166" fontId="5" fillId="20" borderId="0" xfId="1" applyNumberForma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166" fontId="5" fillId="22" borderId="0" xfId="1" applyNumberForma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10" fontId="0" fillId="10" borderId="0" xfId="2" applyNumberFormat="1" applyFont="1" applyFill="1" applyBorder="1" applyAlignment="1">
      <alignment horizontal="center" vertical="center"/>
    </xf>
    <xf numFmtId="167" fontId="5" fillId="4" borderId="27" xfId="1" applyNumberFormat="1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23" borderId="27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23" borderId="28" xfId="0" applyFill="1" applyBorder="1" applyAlignment="1">
      <alignment horizontal="center" vertical="center"/>
    </xf>
    <xf numFmtId="0" fontId="0" fillId="18" borderId="27" xfId="0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20" borderId="27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0" fontId="0" fillId="21" borderId="27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28" xfId="0" applyFill="1" applyBorder="1" applyAlignment="1">
      <alignment horizontal="center" vertical="center"/>
    </xf>
    <xf numFmtId="0" fontId="0" fillId="22" borderId="27" xfId="0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28" borderId="30" xfId="0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0" fillId="28" borderId="31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22" borderId="30" xfId="0" applyFill="1" applyBorder="1" applyAlignment="1">
      <alignment horizontal="center" vertical="center"/>
    </xf>
    <xf numFmtId="0" fontId="0" fillId="22" borderId="14" xfId="0" applyFill="1" applyBorder="1" applyAlignment="1">
      <alignment horizontal="center" vertical="center"/>
    </xf>
    <xf numFmtId="0" fontId="0" fillId="22" borderId="31" xfId="0" applyFill="1" applyBorder="1" applyAlignment="1">
      <alignment horizontal="center" vertical="center"/>
    </xf>
    <xf numFmtId="0" fontId="0" fillId="25" borderId="30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31" xfId="0" applyFill="1" applyBorder="1" applyAlignment="1">
      <alignment horizontal="center" vertical="center"/>
    </xf>
    <xf numFmtId="0" fontId="0" fillId="20" borderId="30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0" fillId="20" borderId="31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24" borderId="30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31" xfId="0" applyFill="1" applyBorder="1" applyAlignment="1">
      <alignment horizontal="center" vertical="center"/>
    </xf>
    <xf numFmtId="0" fontId="0" fillId="27" borderId="30" xfId="0" applyFill="1" applyBorder="1" applyAlignment="1">
      <alignment horizontal="center" vertical="center"/>
    </xf>
    <xf numFmtId="0" fontId="0" fillId="27" borderId="14" xfId="0" applyFill="1" applyBorder="1" applyAlignment="1">
      <alignment horizontal="center" vertical="center"/>
    </xf>
    <xf numFmtId="0" fontId="0" fillId="27" borderId="31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</cellXfs>
  <cellStyles count="3">
    <cellStyle name="Normal" xfId="0" builtinId="0"/>
    <cellStyle name="Normal 2" xfId="1" xr:uid="{42685D80-379C-44E3-B2E3-2F9BED037D54}"/>
    <cellStyle name="Percent" xfId="2" builtinId="5"/>
  </cellStyles>
  <dxfs count="19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d/m/yy;@"/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d/m/yy;@"/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d/m/yy;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d/m/yy;@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'Annual dashboard'!$A$2</c:f>
              <c:strCache>
                <c:ptCount val="1"/>
                <c:pt idx="0">
                  <c:v>Number of CNC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'Annual dashboard'!$B$1:$S$2</c:f>
              <c:multiLvlStrCache>
                <c:ptCount val="18"/>
                <c:lvl>
                  <c:pt idx="0">
                    <c:v>1</c:v>
                  </c:pt>
                  <c:pt idx="1">
                    <c:v>1</c:v>
                  </c:pt>
                  <c:pt idx="2">
                    <c:v>3</c:v>
                  </c:pt>
                  <c:pt idx="3">
                    <c:v>3</c:v>
                  </c:pt>
                  <c:pt idx="4">
                    <c:v>5</c:v>
                  </c:pt>
                  <c:pt idx="5">
                    <c:v>5</c:v>
                  </c:pt>
                  <c:pt idx="6">
                    <c:v>6</c:v>
                  </c:pt>
                  <c:pt idx="7">
                    <c:v>6</c:v>
                  </c:pt>
                  <c:pt idx="8">
                    <c:v>6</c:v>
                  </c:pt>
                  <c:pt idx="9">
                    <c:v>6</c:v>
                  </c:pt>
                  <c:pt idx="10">
                    <c:v>8</c:v>
                  </c:pt>
                  <c:pt idx="11">
                    <c:v>10</c:v>
                  </c:pt>
                  <c:pt idx="12">
                    <c:v>10</c:v>
                  </c:pt>
                  <c:pt idx="13">
                    <c:v>10</c:v>
                  </c:pt>
                  <c:pt idx="14">
                    <c:v>10</c:v>
                  </c:pt>
                  <c:pt idx="15">
                    <c:v>10</c:v>
                  </c:pt>
                  <c:pt idx="16">
                    <c:v>10</c:v>
                  </c:pt>
                  <c:pt idx="17">
                    <c:v>10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</c:lvl>
              </c:multiLvlStrCache>
            </c:multiLvlStrRef>
          </c:cat>
          <c:val>
            <c:numRef>
              <c:f>'Annual dashboard'!$B$2:$S$2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B-4AAD-9070-4EED5DB1C5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046680"/>
        <c:axId val="1212053880"/>
      </c:barChart>
      <c:catAx>
        <c:axId val="121204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53880"/>
        <c:crosses val="autoZero"/>
        <c:auto val="1"/>
        <c:lblAlgn val="ctr"/>
        <c:lblOffset val="100"/>
        <c:noMultiLvlLbl val="0"/>
      </c:catAx>
      <c:valAx>
        <c:axId val="1212053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204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'Annual dashboard'!$A$3</c:f>
              <c:strCache>
                <c:ptCount val="1"/>
                <c:pt idx="0">
                  <c:v>MMC Head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'Annual dashboard'!$B$1:$S$2</c:f>
              <c:multiLvlStrCache>
                <c:ptCount val="18"/>
                <c:lvl>
                  <c:pt idx="0">
                    <c:v>1</c:v>
                  </c:pt>
                  <c:pt idx="1">
                    <c:v>1</c:v>
                  </c:pt>
                  <c:pt idx="2">
                    <c:v>3</c:v>
                  </c:pt>
                  <c:pt idx="3">
                    <c:v>3</c:v>
                  </c:pt>
                  <c:pt idx="4">
                    <c:v>5</c:v>
                  </c:pt>
                  <c:pt idx="5">
                    <c:v>5</c:v>
                  </c:pt>
                  <c:pt idx="6">
                    <c:v>6</c:v>
                  </c:pt>
                  <c:pt idx="7">
                    <c:v>6</c:v>
                  </c:pt>
                  <c:pt idx="8">
                    <c:v>6</c:v>
                  </c:pt>
                  <c:pt idx="9">
                    <c:v>6</c:v>
                  </c:pt>
                  <c:pt idx="10">
                    <c:v>8</c:v>
                  </c:pt>
                  <c:pt idx="11">
                    <c:v>10</c:v>
                  </c:pt>
                  <c:pt idx="12">
                    <c:v>10</c:v>
                  </c:pt>
                  <c:pt idx="13">
                    <c:v>10</c:v>
                  </c:pt>
                  <c:pt idx="14">
                    <c:v>10</c:v>
                  </c:pt>
                  <c:pt idx="15">
                    <c:v>10</c:v>
                  </c:pt>
                  <c:pt idx="16">
                    <c:v>10</c:v>
                  </c:pt>
                  <c:pt idx="17">
                    <c:v>10</c:v>
                  </c:pt>
                </c:lvl>
                <c:lvl>
                  <c:pt idx="0">
                    <c:v>2009</c:v>
                  </c:pt>
                  <c:pt idx="1">
                    <c:v>2010</c:v>
                  </c:pt>
                  <c:pt idx="2">
                    <c:v>2011</c:v>
                  </c:pt>
                  <c:pt idx="3">
                    <c:v>2012</c:v>
                  </c:pt>
                  <c:pt idx="4">
                    <c:v>2013</c:v>
                  </c:pt>
                  <c:pt idx="5">
                    <c:v>2014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2018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</c:lvl>
              </c:multiLvlStrCache>
            </c:multiLvlStrRef>
          </c:cat>
          <c:val>
            <c:numRef>
              <c:f>'Annual dashboard'!$B$3:$S$3</c:f>
              <c:numCache>
                <c:formatCode>General</c:formatCode>
                <c:ptCount val="18"/>
                <c:pt idx="0">
                  <c:v>3</c:v>
                </c:pt>
                <c:pt idx="1">
                  <c:v>15</c:v>
                </c:pt>
                <c:pt idx="2">
                  <c:v>23</c:v>
                </c:pt>
                <c:pt idx="3">
                  <c:v>26</c:v>
                </c:pt>
                <c:pt idx="4">
                  <c:v>39</c:v>
                </c:pt>
                <c:pt idx="5">
                  <c:v>41</c:v>
                </c:pt>
                <c:pt idx="6">
                  <c:v>43</c:v>
                </c:pt>
                <c:pt idx="7">
                  <c:v>43</c:v>
                </c:pt>
                <c:pt idx="8">
                  <c:v>45</c:v>
                </c:pt>
                <c:pt idx="9">
                  <c:v>65</c:v>
                </c:pt>
                <c:pt idx="10">
                  <c:v>86</c:v>
                </c:pt>
                <c:pt idx="11">
                  <c:v>86</c:v>
                </c:pt>
                <c:pt idx="12">
                  <c:v>86</c:v>
                </c:pt>
                <c:pt idx="13">
                  <c:v>83</c:v>
                </c:pt>
                <c:pt idx="14">
                  <c:v>81</c:v>
                </c:pt>
                <c:pt idx="15">
                  <c:v>78</c:v>
                </c:pt>
                <c:pt idx="16">
                  <c:v>64</c:v>
                </c:pt>
                <c:pt idx="17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E-45F3-ADA6-63C575BE94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046680"/>
        <c:axId val="1212053880"/>
      </c:barChart>
      <c:catAx>
        <c:axId val="121204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53880"/>
        <c:crosses val="autoZero"/>
        <c:auto val="1"/>
        <c:lblAlgn val="ctr"/>
        <c:lblOffset val="100"/>
        <c:noMultiLvlLbl val="0"/>
      </c:catAx>
      <c:valAx>
        <c:axId val="1212053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204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of the number of test modules delivered since 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'Annual dashboard'!$A$5</c:f>
              <c:strCache>
                <c:ptCount val="1"/>
                <c:pt idx="0">
                  <c:v>Delivered Test Modules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70-41F4-B77B-820318F8163C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58B-4D07-8ABC-E3FB8FD027A8}"/>
              </c:ext>
            </c:extLst>
          </c:dPt>
          <c:val>
            <c:numRef>
              <c:f>'Annual dashboard'!$B$5:$S$5</c:f>
              <c:numCache>
                <c:formatCode>General</c:formatCode>
                <c:ptCount val="18"/>
                <c:pt idx="0">
                  <c:v>86</c:v>
                </c:pt>
                <c:pt idx="1">
                  <c:v>225</c:v>
                </c:pt>
                <c:pt idx="2">
                  <c:v>907</c:v>
                </c:pt>
                <c:pt idx="3">
                  <c:v>914</c:v>
                </c:pt>
                <c:pt idx="4">
                  <c:v>1871</c:v>
                </c:pt>
                <c:pt idx="5">
                  <c:v>2150</c:v>
                </c:pt>
                <c:pt idx="6">
                  <c:v>636</c:v>
                </c:pt>
                <c:pt idx="7">
                  <c:v>3400</c:v>
                </c:pt>
                <c:pt idx="8">
                  <c:v>4714</c:v>
                </c:pt>
                <c:pt idx="9">
                  <c:v>6633</c:v>
                </c:pt>
                <c:pt idx="10">
                  <c:v>7000</c:v>
                </c:pt>
                <c:pt idx="11">
                  <c:v>7910</c:v>
                </c:pt>
                <c:pt idx="12">
                  <c:v>7009</c:v>
                </c:pt>
                <c:pt idx="13">
                  <c:v>8479</c:v>
                </c:pt>
                <c:pt idx="14">
                  <c:v>6949</c:v>
                </c:pt>
                <c:pt idx="15">
                  <c:v>6885</c:v>
                </c:pt>
                <c:pt idx="16">
                  <c:v>8367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0-41F4-B77B-820318F81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046680"/>
        <c:axId val="1212053880"/>
      </c:barChart>
      <c:lineChart>
        <c:grouping val="standard"/>
        <c:varyColors val="0"/>
        <c:ser>
          <c:idx val="1"/>
          <c:order val="0"/>
          <c:tx>
            <c:strRef>
              <c:f>'Annual dashboard'!$A$4</c:f>
              <c:strCache>
                <c:ptCount val="1"/>
                <c:pt idx="0">
                  <c:v>Number of test modules to be delivered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'Annual dashboard'!$B$1:$S$1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cat>
          <c:val>
            <c:numRef>
              <c:f>'Annual dashboard'!$B$4:$S$4</c:f>
              <c:numCache>
                <c:formatCode>General</c:formatCode>
                <c:ptCount val="18"/>
                <c:pt idx="0">
                  <c:v>80</c:v>
                </c:pt>
                <c:pt idx="1">
                  <c:v>200</c:v>
                </c:pt>
                <c:pt idx="2">
                  <c:v>850</c:v>
                </c:pt>
                <c:pt idx="3">
                  <c:v>900</c:v>
                </c:pt>
                <c:pt idx="4">
                  <c:v>1500</c:v>
                </c:pt>
                <c:pt idx="5">
                  <c:v>2000</c:v>
                </c:pt>
                <c:pt idx="6">
                  <c:v>2000</c:v>
                </c:pt>
                <c:pt idx="7">
                  <c:v>3000</c:v>
                </c:pt>
                <c:pt idx="8">
                  <c:v>4500</c:v>
                </c:pt>
                <c:pt idx="9">
                  <c:v>6500</c:v>
                </c:pt>
                <c:pt idx="10">
                  <c:v>7000</c:v>
                </c:pt>
                <c:pt idx="11">
                  <c:v>7000</c:v>
                </c:pt>
                <c:pt idx="12">
                  <c:v>7000</c:v>
                </c:pt>
                <c:pt idx="13">
                  <c:v>8000</c:v>
                </c:pt>
                <c:pt idx="14">
                  <c:v>7000</c:v>
                </c:pt>
                <c:pt idx="15">
                  <c:v>6500</c:v>
                </c:pt>
                <c:pt idx="16">
                  <c:v>6500</c:v>
                </c:pt>
                <c:pt idx="17">
                  <c:v>8280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0-41F4-B77B-820318F81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046680"/>
        <c:axId val="1212053880"/>
      </c:lineChart>
      <c:catAx>
        <c:axId val="121204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53880"/>
        <c:crosses val="autoZero"/>
        <c:auto val="1"/>
        <c:lblAlgn val="ctr"/>
        <c:lblOffset val="100"/>
        <c:noMultiLvlLbl val="0"/>
      </c:catAx>
      <c:valAx>
        <c:axId val="12120538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2046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of the Revenue from sales of test modules in euro since 2009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'Annual dashboard'!$A$7</c:f>
              <c:strCache>
                <c:ptCount val="1"/>
                <c:pt idx="0">
                  <c:v>Revenue from sales of test modules in euro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FD7-470B-9EFA-F6BE84565B7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FD7-470B-9EFA-F6BE84565B7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FD7-470B-9EFA-F6BE84565B77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D7-470B-9EFA-F6BE84565B77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FD7-470B-9EFA-F6BE84565B77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FD7-470B-9EFA-F6BE84565B77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FD7-470B-9EFA-F6BE84565B77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D7-470B-9EFA-F6BE84565B77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FD7-470B-9EFA-F6BE84565B77}"/>
              </c:ext>
            </c:extLst>
          </c:dPt>
          <c:cat>
            <c:numRef>
              <c:f>'Annual dashboard'!$B$1:$S$1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cat>
          <c:val>
            <c:numRef>
              <c:f>'Annual dashboard'!$B$7:$S$7</c:f>
              <c:numCache>
                <c:formatCode>#,##0\ "€";[Red]\-#,##0\ "€"</c:formatCode>
                <c:ptCount val="18"/>
                <c:pt idx="0">
                  <c:v>24000</c:v>
                </c:pt>
                <c:pt idx="1">
                  <c:v>63000</c:v>
                </c:pt>
                <c:pt idx="2">
                  <c:v>254000</c:v>
                </c:pt>
                <c:pt idx="3">
                  <c:v>256000</c:v>
                </c:pt>
                <c:pt idx="4">
                  <c:v>524000</c:v>
                </c:pt>
                <c:pt idx="5">
                  <c:v>602000</c:v>
                </c:pt>
                <c:pt idx="6">
                  <c:v>738000</c:v>
                </c:pt>
                <c:pt idx="7">
                  <c:v>952000</c:v>
                </c:pt>
                <c:pt idx="8">
                  <c:v>1120000</c:v>
                </c:pt>
                <c:pt idx="9">
                  <c:v>1750000</c:v>
                </c:pt>
                <c:pt idx="10">
                  <c:v>1900000</c:v>
                </c:pt>
                <c:pt idx="11">
                  <c:v>2648000</c:v>
                </c:pt>
                <c:pt idx="12">
                  <c:v>2114000</c:v>
                </c:pt>
                <c:pt idx="13">
                  <c:v>3364000</c:v>
                </c:pt>
                <c:pt idx="14">
                  <c:v>2682000</c:v>
                </c:pt>
                <c:pt idx="15">
                  <c:v>2282000</c:v>
                </c:pt>
                <c:pt idx="16">
                  <c:v>2997927.4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7-470B-9EFA-F6BE84565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046680"/>
        <c:axId val="1212053880"/>
      </c:barChart>
      <c:lineChart>
        <c:grouping val="standard"/>
        <c:varyColors val="0"/>
        <c:ser>
          <c:idx val="1"/>
          <c:order val="0"/>
          <c:tx>
            <c:strRef>
              <c:f>'Annual dashboard'!$A$6</c:f>
              <c:strCache>
                <c:ptCount val="1"/>
                <c:pt idx="0">
                  <c:v>Estimated revenue will come from sales of test modules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'Annual dashboard'!$B$1:$S$1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cat>
          <c:val>
            <c:numRef>
              <c:f>'Annual dashboard'!$B$6:$S$6</c:f>
              <c:numCache>
                <c:formatCode>#,##0\ "€";[Red]\-#,##0\ "€"</c:formatCode>
                <c:ptCount val="18"/>
                <c:pt idx="0">
                  <c:v>20000</c:v>
                </c:pt>
                <c:pt idx="1">
                  <c:v>55813.953488372099</c:v>
                </c:pt>
                <c:pt idx="2">
                  <c:v>238000</c:v>
                </c:pt>
                <c:pt idx="3">
                  <c:v>252039.69128996693</c:v>
                </c:pt>
                <c:pt idx="4">
                  <c:v>420131.2910284464</c:v>
                </c:pt>
                <c:pt idx="5">
                  <c:v>560128.27365045424</c:v>
                </c:pt>
                <c:pt idx="6">
                  <c:v>560000</c:v>
                </c:pt>
                <c:pt idx="7">
                  <c:v>1107000</c:v>
                </c:pt>
                <c:pt idx="8">
                  <c:v>1260000</c:v>
                </c:pt>
                <c:pt idx="9">
                  <c:v>1544336.0203648706</c:v>
                </c:pt>
                <c:pt idx="10">
                  <c:v>1846826.4736921454</c:v>
                </c:pt>
                <c:pt idx="11">
                  <c:v>1900000</c:v>
                </c:pt>
                <c:pt idx="12">
                  <c:v>2343362.8318584072</c:v>
                </c:pt>
                <c:pt idx="13">
                  <c:v>2412897.7029533461</c:v>
                </c:pt>
                <c:pt idx="14">
                  <c:v>2777214.2941384595</c:v>
                </c:pt>
                <c:pt idx="15">
                  <c:v>2490428.5714285714</c:v>
                </c:pt>
                <c:pt idx="16">
                  <c:v>2282000</c:v>
                </c:pt>
                <c:pt idx="17">
                  <c:v>2966754.9745428469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D7-470B-9EFA-F6BE84565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046680"/>
        <c:axId val="1212053880"/>
      </c:lineChart>
      <c:catAx>
        <c:axId val="121204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53880"/>
        <c:crosses val="autoZero"/>
        <c:auto val="1"/>
        <c:lblAlgn val="ctr"/>
        <c:lblOffset val="100"/>
        <c:noMultiLvlLbl val="0"/>
      </c:catAx>
      <c:valAx>
        <c:axId val="1212053880"/>
        <c:scaling>
          <c:orientation val="minMax"/>
        </c:scaling>
        <c:delete val="1"/>
        <c:axPos val="l"/>
        <c:numFmt formatCode="#,##0\ &quot;€&quot;;[Red]\-#,##0\ &quot;€&quot;" sourceLinked="1"/>
        <c:majorTickMark val="none"/>
        <c:minorTickMark val="none"/>
        <c:tickLblPos val="nextTo"/>
        <c:crossAx val="12120466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of Leoni-Tunisia Saving via MMC-Test-Modul since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dashboard'!$A$8</c:f>
              <c:strCache>
                <c:ptCount val="1"/>
                <c:pt idx="0">
                  <c:v>Leoni Saving via MMC-Test-Modul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'Annual dashboard'!$N$1:$S$1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'Annual dashboard'!$N$8:$R$8</c:f>
              <c:numCache>
                <c:formatCode>#,##0\ "€";[Red]\-#,##0\ "€"</c:formatCode>
                <c:ptCount val="5"/>
                <c:pt idx="0">
                  <c:v>3441000</c:v>
                </c:pt>
                <c:pt idx="1">
                  <c:v>3450926</c:v>
                </c:pt>
                <c:pt idx="2">
                  <c:v>2573862</c:v>
                </c:pt>
                <c:pt idx="3">
                  <c:v>2350880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FD2-4001-9664-D510D990CE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046680"/>
        <c:axId val="1212053880"/>
      </c:barChart>
      <c:catAx>
        <c:axId val="121204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53880"/>
        <c:crosses val="autoZero"/>
        <c:auto val="1"/>
        <c:lblAlgn val="ctr"/>
        <c:lblOffset val="100"/>
        <c:noMultiLvlLbl val="0"/>
      </c:catAx>
      <c:valAx>
        <c:axId val="1212053880"/>
        <c:scaling>
          <c:orientation val="minMax"/>
        </c:scaling>
        <c:delete val="1"/>
        <c:axPos val="l"/>
        <c:numFmt formatCode="#,##0\ &quot;€&quot;;[Red]\-#,##0\ &quot;€&quot;" sourceLinked="1"/>
        <c:majorTickMark val="none"/>
        <c:minorTickMark val="none"/>
        <c:tickLblPos val="nextTo"/>
        <c:crossAx val="121204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Distribution of defects by manufacturing process February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TCD!$T$6</c:f>
              <c:strCache>
                <c:ptCount val="1"/>
                <c:pt idx="0">
                  <c:v>Taux de detection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414-486F-87D4-84B94C6A2E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C86-4A91-8E0D-A81EB820B5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E6-4E10-B1AF-FE1360B5F802}"/>
              </c:ext>
            </c:extLst>
          </c:dPt>
          <c:dLbls>
            <c:dLbl>
              <c:idx val="0"/>
              <c:layout>
                <c:manualLayout>
                  <c:x val="-0.1411423397970564"/>
                  <c:y val="-6.692047936564639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14-486F-87D4-84B94C6A2E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TCD!$Q$7:$Q$9</c:f>
              <c:strCache>
                <c:ptCount val="3"/>
                <c:pt idx="0">
                  <c:v>CNC</c:v>
                </c:pt>
                <c:pt idx="1">
                  <c:v>Assemblage mécanique</c:v>
                </c:pt>
                <c:pt idx="2">
                  <c:v>Contrôle technique</c:v>
                </c:pt>
              </c:strCache>
            </c:strRef>
          </c:cat>
          <c:val>
            <c:numRef>
              <c:f>TCD!$T$7:$T$9</c:f>
              <c:numCache>
                <c:formatCode>0.00%</c:formatCode>
                <c:ptCount val="3"/>
                <c:pt idx="0">
                  <c:v>0.70547945205479456</c:v>
                </c:pt>
                <c:pt idx="1">
                  <c:v>0.23972602739726026</c:v>
                </c:pt>
                <c:pt idx="2">
                  <c:v>5.4794520547945202E-2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86F-87D4-84B94C6A2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Defect rate detected By production Area February 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4E-4835-B3F6-35C5F5B8DA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4E-4835-B3F6-35C5F5B8DA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15-4D5F-A335-2CE94485A9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TCD!$Q$7:$Q$9</c:f>
              <c:strCache>
                <c:ptCount val="3"/>
                <c:pt idx="0">
                  <c:v>CNC</c:v>
                </c:pt>
                <c:pt idx="1">
                  <c:v>Assemblage mécanique</c:v>
                </c:pt>
                <c:pt idx="2">
                  <c:v>Contrôle technique</c:v>
                </c:pt>
              </c:strCache>
            </c:strRef>
          </c:cat>
          <c:val>
            <c:numRef>
              <c:f>TCD!$S$7:$S$9</c:f>
              <c:numCache>
                <c:formatCode>0.00%</c:formatCode>
                <c:ptCount val="3"/>
                <c:pt idx="0">
                  <c:v>0.2047713717693837</c:v>
                </c:pt>
                <c:pt idx="1">
                  <c:v>6.9582504970178927E-2</c:v>
                </c:pt>
                <c:pt idx="2">
                  <c:v>1.5904572564612324E-2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5-46A3-B2CA-0BBE04E0B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fault detection J-1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TCD!$F$88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TCD!$E$89:$E$97</c:f>
              <c:strCache>
                <c:ptCount val="8"/>
                <c:pt idx="0">
                  <c:v>Poche moins que la tolérance</c:v>
                </c:pt>
                <c:pt idx="1">
                  <c:v>composant endommagé</c:v>
                </c:pt>
                <c:pt idx="2">
                  <c:v>Pérçage moins que la tolérance</c:v>
                </c:pt>
                <c:pt idx="3">
                  <c:v>Piéce endommagé</c:v>
                </c:pt>
                <c:pt idx="4">
                  <c:v>Manque opération </c:v>
                </c:pt>
                <c:pt idx="5">
                  <c:v>Pièce endommagée</c:v>
                </c:pt>
                <c:pt idx="6">
                  <c:v>Modification non effectué</c:v>
                </c:pt>
                <c:pt idx="7">
                  <c:v>Poche plus que la tolérance</c:v>
                </c:pt>
              </c:strCache>
            </c:strRef>
          </c:cat>
          <c:val>
            <c:numRef>
              <c:f>TCD!$F$89:$F$97</c:f>
              <c:numCache>
                <c:formatCode>General</c:formatCode>
                <c:ptCount val="8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5-4422-980C-1616932E34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98886728"/>
        <c:axId val="1098889608"/>
      </c:barChart>
      <c:catAx>
        <c:axId val="109888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89608"/>
        <c:crosses val="autoZero"/>
        <c:auto val="1"/>
        <c:lblAlgn val="ctr"/>
        <c:lblOffset val="100"/>
        <c:noMultiLvlLbl val="0"/>
      </c:catAx>
      <c:valAx>
        <c:axId val="1098889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8886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RFT rate per process in February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TCD!$AC$4</c:f>
              <c:strCache>
                <c:ptCount val="1"/>
                <c:pt idx="0">
                  <c:v>%RFT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D78-410B-8E49-AE32EBF1F99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427-4A16-AAB5-776F6FFD68CA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138-4B44-9290-C8943B6E70C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0D6-42C2-A4A9-F6ACA5F4CFD7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8F-49A1-960D-CB6D99D3A0B2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996-47E8-A192-702E3C90ED6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996-47E8-A192-702E3C90ED6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0D6-42C2-A4A9-F6ACA5F4CFD7}"/>
              </c:ext>
            </c:extLst>
          </c:dPt>
          <c:cat>
            <c:strRef>
              <c:f>TCD!$Y$5:$Y$14</c:f>
              <c:strCache>
                <c:ptCount val="10"/>
                <c:pt idx="0">
                  <c:v>Duplication</c:v>
                </c:pt>
                <c:pt idx="1">
                  <c:v>CNC</c:v>
                </c:pt>
                <c:pt idx="2">
                  <c:v>FAO</c:v>
                </c:pt>
                <c:pt idx="3">
                  <c:v>MONTAGE</c:v>
                </c:pt>
                <c:pt idx="4">
                  <c:v>CAO</c:v>
                </c:pt>
                <c:pt idx="5">
                  <c:v>Prototype</c:v>
                </c:pt>
                <c:pt idx="6">
                  <c:v>CAO</c:v>
                </c:pt>
                <c:pt idx="7">
                  <c:v>CNC</c:v>
                </c:pt>
                <c:pt idx="8">
                  <c:v>FAO</c:v>
                </c:pt>
                <c:pt idx="9">
                  <c:v>MONTAGE</c:v>
                </c:pt>
              </c:strCache>
            </c:strRef>
          </c:cat>
          <c:val>
            <c:numRef>
              <c:f>TCD!$AC$5:$AC$14</c:f>
              <c:numCache>
                <c:formatCode>0.00%</c:formatCode>
                <c:ptCount val="10"/>
                <c:pt idx="0">
                  <c:v>0.83333333333333337</c:v>
                </c:pt>
                <c:pt idx="1">
                  <c:v>0.8779342723004695</c:v>
                </c:pt>
                <c:pt idx="2">
                  <c:v>0.99295774647887325</c:v>
                </c:pt>
                <c:pt idx="3">
                  <c:v>0.9741784037558685</c:v>
                </c:pt>
                <c:pt idx="4">
                  <c:v>0.98826291079812212</c:v>
                </c:pt>
                <c:pt idx="5">
                  <c:v>7.7922077922077948E-2</c:v>
                </c:pt>
                <c:pt idx="6">
                  <c:v>0.55844155844155852</c:v>
                </c:pt>
                <c:pt idx="7">
                  <c:v>0.67532467532467533</c:v>
                </c:pt>
                <c:pt idx="8">
                  <c:v>0.8441558441558441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C-46A2-8A8B-38D25A323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330800"/>
        <c:axId val="934331880"/>
      </c:barChart>
      <c:lineChart>
        <c:grouping val="standard"/>
        <c:varyColors val="0"/>
        <c:ser>
          <c:idx val="0"/>
          <c:order val="0"/>
          <c:tx>
            <c:strRef>
              <c:f>TCD!$AB$4</c:f>
              <c:strCache>
                <c:ptCount val="1"/>
                <c:pt idx="0">
                  <c:v>Objectif RFT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TCD!$Y$5:$Y$14</c:f>
              <c:strCache>
                <c:ptCount val="10"/>
                <c:pt idx="0">
                  <c:v>Duplication</c:v>
                </c:pt>
                <c:pt idx="1">
                  <c:v>CNC</c:v>
                </c:pt>
                <c:pt idx="2">
                  <c:v>FAO</c:v>
                </c:pt>
                <c:pt idx="3">
                  <c:v>MONTAGE</c:v>
                </c:pt>
                <c:pt idx="4">
                  <c:v>CAO</c:v>
                </c:pt>
                <c:pt idx="5">
                  <c:v>Prototype</c:v>
                </c:pt>
                <c:pt idx="6">
                  <c:v>CAO</c:v>
                </c:pt>
                <c:pt idx="7">
                  <c:v>CNC</c:v>
                </c:pt>
                <c:pt idx="8">
                  <c:v>FAO</c:v>
                </c:pt>
                <c:pt idx="9">
                  <c:v>MONTAGE</c:v>
                </c:pt>
              </c:strCache>
            </c:strRef>
          </c:cat>
          <c:val>
            <c:numRef>
              <c:f>TCD!$AB$5:$AB$14</c:f>
              <c:numCache>
                <c:formatCode>0%</c:formatCode>
                <c:ptCount val="10"/>
                <c:pt idx="0">
                  <c:v>0.9</c:v>
                </c:pt>
                <c:pt idx="1">
                  <c:v>0.97</c:v>
                </c:pt>
                <c:pt idx="2">
                  <c:v>0.99</c:v>
                </c:pt>
                <c:pt idx="3">
                  <c:v>0.99</c:v>
                </c:pt>
                <c:pt idx="4">
                  <c:v>0.97</c:v>
                </c:pt>
                <c:pt idx="5">
                  <c:v>0.85</c:v>
                </c:pt>
                <c:pt idx="6">
                  <c:v>0.97</c:v>
                </c:pt>
                <c:pt idx="7">
                  <c:v>0.95</c:v>
                </c:pt>
                <c:pt idx="8">
                  <c:v>0.97</c:v>
                </c:pt>
                <c:pt idx="9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C-46A2-8A8B-38D25A323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330800"/>
        <c:axId val="934331880"/>
      </c:lineChart>
      <c:catAx>
        <c:axId val="93433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31880"/>
        <c:crosses val="autoZero"/>
        <c:auto val="1"/>
        <c:lblAlgn val="ctr"/>
        <c:lblOffset val="100"/>
        <c:noMultiLvlLbl val="0"/>
      </c:catAx>
      <c:valAx>
        <c:axId val="9343318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34330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chart of defects by occurrence process MTD-02-2026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TCD!$O$86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TCD!$N$87:$N$91</c:f>
              <c:strCache>
                <c:ptCount val="4"/>
                <c:pt idx="0">
                  <c:v>refaire l'operation</c:v>
                </c:pt>
                <c:pt idx="1">
                  <c:v>mise en rebut</c:v>
                </c:pt>
                <c:pt idx="2">
                  <c:v>Demande de remplacement</c:v>
                </c:pt>
                <c:pt idx="3">
                  <c:v>refaire la piece</c:v>
                </c:pt>
              </c:strCache>
            </c:strRef>
          </c:cat>
          <c:val>
            <c:numRef>
              <c:f>TCD!$O$87:$O$91</c:f>
              <c:numCache>
                <c:formatCode>General</c:formatCode>
                <c:ptCount val="4"/>
                <c:pt idx="0">
                  <c:v>84</c:v>
                </c:pt>
                <c:pt idx="1">
                  <c:v>50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E-452B-BE2A-8637AEAFFF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8151432"/>
        <c:axId val="228151792"/>
      </c:barChart>
      <c:catAx>
        <c:axId val="22815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151792"/>
        <c:crosses val="autoZero"/>
        <c:auto val="1"/>
        <c:lblAlgn val="ctr"/>
        <c:lblOffset val="100"/>
        <c:noMultiLvlLbl val="0"/>
      </c:catAx>
      <c:valAx>
        <c:axId val="228151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815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of correction rates MTD-02-2026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TCD!$AB$85</c:f>
              <c:strCache>
                <c:ptCount val="1"/>
                <c:pt idx="0">
                  <c:v>Pareto des taux des actions de correction/quantité controlé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90E-4562-917C-E71BA7BB8F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0E-4562-917C-E71BA7BB8F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TCD!$Z$86:$Z$87</c:f>
              <c:strCache>
                <c:ptCount val="2"/>
                <c:pt idx="0">
                  <c:v>refaire l'operation</c:v>
                </c:pt>
                <c:pt idx="1">
                  <c:v>mise en rebut</c:v>
                </c:pt>
              </c:strCache>
            </c:strRef>
          </c:cat>
          <c:val>
            <c:numRef>
              <c:f>TCD!$AB$86:$AB$87</c:f>
              <c:numCache>
                <c:formatCode>0.00%</c:formatCode>
                <c:ptCount val="2"/>
                <c:pt idx="0">
                  <c:v>1.2354758052654803E-2</c:v>
                </c:pt>
                <c:pt idx="1">
                  <c:v>5.8832181203118106E-4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E-4B1B-8A9A-944CD668071A}"/>
            </c:ext>
          </c:extLst>
        </c:ser>
        <c:ser>
          <c:idx val="0"/>
          <c:order val="0"/>
          <c:tx>
            <c:strRef>
              <c:f>TCD!$AA$85</c:f>
              <c:strCache>
                <c:ptCount val="1"/>
                <c:pt idx="0">
                  <c:v>Objectif rebut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1E-4B1B-8A9A-944CD66807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AF1-4ABD-9A20-74AAF4018253}"/>
              </c:ext>
            </c:extLst>
          </c:dPt>
          <c:dLbls>
            <c:dLbl>
              <c:idx val="0"/>
              <c:layout>
                <c:manualLayout>
                  <c:x val="-6.466291048378350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1E-4B1B-8A9A-944CD66807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TCD!$Z$86:$Z$87</c:f>
              <c:strCache>
                <c:ptCount val="2"/>
                <c:pt idx="0">
                  <c:v>refaire l'operation</c:v>
                </c:pt>
                <c:pt idx="1">
                  <c:v>mise en rebut</c:v>
                </c:pt>
              </c:strCache>
            </c:strRef>
          </c:cat>
          <c:val>
            <c:numRef>
              <c:f>TCD!$AA$86:$AA$87</c:f>
              <c:numCache>
                <c:formatCode>0%</c:formatCode>
                <c:ptCount val="2"/>
                <c:pt idx="0">
                  <c:v>0.05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E-4B1B-8A9A-944CD6680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of correction rates/total number of errors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MTD-02-2026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TCD!$AC$85</c:f>
              <c:strCache>
                <c:ptCount val="1"/>
                <c:pt idx="0">
                  <c:v>Pareto des taux des actions de correction/nombre totale des fautes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TCD!$Z$86:$Z$89</c:f>
              <c:strCache>
                <c:ptCount val="4"/>
                <c:pt idx="0">
                  <c:v>refaire l'operation</c:v>
                </c:pt>
                <c:pt idx="1">
                  <c:v>mise en rebut</c:v>
                </c:pt>
                <c:pt idx="2">
                  <c:v>Demande de remplacement</c:v>
                </c:pt>
                <c:pt idx="3">
                  <c:v>refaire la piece</c:v>
                </c:pt>
              </c:strCache>
            </c:strRef>
          </c:cat>
          <c:val>
            <c:numRef>
              <c:f>TCD!$AC$86:$AC$87</c:f>
              <c:numCache>
                <c:formatCode>0.00%</c:formatCode>
                <c:ptCount val="2"/>
                <c:pt idx="0">
                  <c:v>0.57534246575342463</c:v>
                </c:pt>
                <c:pt idx="1">
                  <c:v>2.7397260273972601E-2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C-4FB8-829D-AE3A9D550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7427512"/>
        <c:axId val="907429672"/>
      </c:barChart>
      <c:catAx>
        <c:axId val="907427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29672"/>
        <c:crosses val="autoZero"/>
        <c:auto val="1"/>
        <c:lblAlgn val="ctr"/>
        <c:lblOffset val="100"/>
        <c:noMultiLvlLbl val="0"/>
      </c:catAx>
      <c:valAx>
        <c:axId val="90742967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07427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des defauts technique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cotation non respecter</c:v>
              </c:pt>
              <c:pt idx="1">
                <c:v>FAO incorrecte</c:v>
              </c:pt>
              <c:pt idx="2">
                <c:v>Usinage  incomplet</c:v>
              </c:pt>
              <c:pt idx="3">
                <c:v>Pièce rebut</c:v>
              </c:pt>
              <c:pt idx="4">
                <c:v>element manquant</c:v>
              </c:pt>
              <c:pt idx="5">
                <c:v>Profondeur "Z" non correcte</c:v>
              </c:pt>
              <c:pt idx="6">
                <c:v>contre-partie " Clips/douille" non montable</c:v>
              </c:pt>
              <c:pt idx="7">
                <c:v>usinage incorrecte</c:v>
              </c:pt>
              <c:pt idx="8">
                <c:v>CAO incorrecte</c:v>
              </c:pt>
              <c:pt idx="9">
                <c:v>Erreur continuité </c:v>
              </c:pt>
            </c:strLit>
          </c:cat>
          <c:val>
            <c:numLit>
              <c:formatCode>General</c:formatCode>
              <c:ptCount val="10"/>
              <c:pt idx="0">
                <c:v>80</c:v>
              </c:pt>
              <c:pt idx="1">
                <c:v>45</c:v>
              </c:pt>
              <c:pt idx="2">
                <c:v>30</c:v>
              </c:pt>
              <c:pt idx="3">
                <c:v>24</c:v>
              </c:pt>
              <c:pt idx="4">
                <c:v>13</c:v>
              </c:pt>
              <c:pt idx="5">
                <c:v>13</c:v>
              </c:pt>
              <c:pt idx="6">
                <c:v>11</c:v>
              </c:pt>
              <c:pt idx="7">
                <c:v>10</c:v>
              </c:pt>
              <c:pt idx="8">
                <c:v>6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56D-4FFB-B27C-B06A07B0C7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8831400"/>
        <c:axId val="908831040"/>
      </c:barChart>
      <c:catAx>
        <c:axId val="908831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31040"/>
        <c:crosses val="autoZero"/>
        <c:auto val="1"/>
        <c:lblAlgn val="ctr"/>
        <c:lblOffset val="100"/>
        <c:noMultiLvlLbl val="0"/>
      </c:catAx>
      <c:valAx>
        <c:axId val="908831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8831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des type des deffaillances technique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TCD!$F$105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TCD!$E$106:$E$114</c:f>
              <c:strCache>
                <c:ptCount val="8"/>
                <c:pt idx="0">
                  <c:v>usinage incorrecte</c:v>
                </c:pt>
                <c:pt idx="1">
                  <c:v>CAO incorrecte</c:v>
                </c:pt>
                <c:pt idx="2">
                  <c:v>FAO incorrecte</c:v>
                </c:pt>
                <c:pt idx="3">
                  <c:v>Usinage incomplet</c:v>
                </c:pt>
                <c:pt idx="4">
                  <c:v>Branchement electrique non conforme</c:v>
                </c:pt>
                <c:pt idx="5">
                  <c:v>Profondeur "Z" non correcte</c:v>
                </c:pt>
                <c:pt idx="6">
                  <c:v>element manquant</c:v>
                </c:pt>
                <c:pt idx="7">
                  <c:v>contre-partie " Clips/douille" non montable</c:v>
                </c:pt>
              </c:strCache>
            </c:strRef>
          </c:cat>
          <c:val>
            <c:numRef>
              <c:f>TCD!$F$106:$F$114</c:f>
              <c:numCache>
                <c:formatCode>General</c:formatCode>
                <c:ptCount val="8"/>
                <c:pt idx="0">
                  <c:v>60</c:v>
                </c:pt>
                <c:pt idx="1">
                  <c:v>35</c:v>
                </c:pt>
                <c:pt idx="2">
                  <c:v>21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9-4528-9EF9-30949FAAA4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8831760"/>
        <c:axId val="908830680"/>
      </c:barChart>
      <c:catAx>
        <c:axId val="90883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30680"/>
        <c:crosses val="autoZero"/>
        <c:auto val="1"/>
        <c:lblAlgn val="ctr"/>
        <c:lblOffset val="100"/>
        <c:noMultiLvlLbl val="0"/>
      </c:catAx>
      <c:valAx>
        <c:axId val="908830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883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des type des deffaillances technique J-1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TCD!$F$124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TCD!$E$125:$E$128</c:f>
              <c:strCache>
                <c:ptCount val="3"/>
                <c:pt idx="0">
                  <c:v>usinage incorrecte</c:v>
                </c:pt>
                <c:pt idx="1">
                  <c:v>CAO incorrecte</c:v>
                </c:pt>
                <c:pt idx="2">
                  <c:v>FAO incorrecte</c:v>
                </c:pt>
              </c:strCache>
            </c:strRef>
          </c:cat>
          <c:val>
            <c:numRef>
              <c:f>TCD!$F$125:$F$128</c:f>
              <c:numCache>
                <c:formatCode>General</c:formatCode>
                <c:ptCount val="3"/>
                <c:pt idx="0">
                  <c:v>9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3-4B54-9E8A-82FFD72F5F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3576024"/>
        <c:axId val="1113580704"/>
      </c:barChart>
      <c:catAx>
        <c:axId val="111357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80704"/>
        <c:crosses val="autoZero"/>
        <c:auto val="1"/>
        <c:lblAlgn val="ctr"/>
        <c:lblOffset val="100"/>
        <c:noMultiLvlLbl val="0"/>
      </c:catAx>
      <c:valAx>
        <c:axId val="1113580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3576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dynamique12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des type des deffaillances technique par detail de deffaut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TCD!$F$147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TCD!$E$148:$E$220</c:f>
              <c:multiLvlStrCache>
                <c:ptCount val="69"/>
                <c:lvl>
                  <c:pt idx="0">
                    <c:v>Poche moins que la tolérance</c:v>
                  </c:pt>
                  <c:pt idx="1">
                    <c:v>Pérçage moins que la tolérance</c:v>
                  </c:pt>
                  <c:pt idx="2">
                    <c:v>Piéce endommagé</c:v>
                  </c:pt>
                  <c:pt idx="3">
                    <c:v>Poche plus que la tolérance</c:v>
                  </c:pt>
                  <c:pt idx="4">
                    <c:v>Pérçage decalé</c:v>
                  </c:pt>
                  <c:pt idx="5">
                    <c:v>Face decalé</c:v>
                  </c:pt>
                  <c:pt idx="6">
                    <c:v>Pérçage plus que la tolérance</c:v>
                  </c:pt>
                  <c:pt idx="7">
                    <c:v>Pièce endommagée</c:v>
                  </c:pt>
                  <c:pt idx="8">
                    <c:v>Profondeur non conforme</c:v>
                  </c:pt>
                  <c:pt idx="9">
                    <c:v>cotation extérieur incorrect</c:v>
                  </c:pt>
                  <c:pt idx="10">
                    <c:v>Cote moins que la tolérance </c:v>
                  </c:pt>
                  <c:pt idx="11">
                    <c:v>Manque opération </c:v>
                  </c:pt>
                  <c:pt idx="12">
                    <c:v>Face inversé </c:v>
                  </c:pt>
                  <c:pt idx="13">
                    <c:v>Perçage decalé</c:v>
                  </c:pt>
                  <c:pt idx="14">
                    <c:v>Cote plus  que la tolérance </c:v>
                  </c:pt>
                  <c:pt idx="15">
                    <c:v>Poche non conforme</c:v>
                  </c:pt>
                  <c:pt idx="16">
                    <c:v>Modification non effectué</c:v>
                  </c:pt>
                  <c:pt idx="17">
                    <c:v>Piéce non conforme au plan</c:v>
                  </c:pt>
                  <c:pt idx="18">
                    <c:v>Mal usiner</c:v>
                  </c:pt>
                  <c:pt idx="19">
                    <c:v>Perçage plus que la tolérance</c:v>
                  </c:pt>
                  <c:pt idx="20">
                    <c:v>Poche lamage schtift décalé</c:v>
                  </c:pt>
                  <c:pt idx="21">
                    <c:v>Etanchéité non fiable</c:v>
                  </c:pt>
                  <c:pt idx="22">
                    <c:v>Diametre 1,1 au lieu de 1</c:v>
                  </c:pt>
                  <c:pt idx="23">
                    <c:v>Cote fonctionnel non conforme</c:v>
                  </c:pt>
                  <c:pt idx="24">
                    <c:v>Lamage decalé</c:v>
                  </c:pt>
                  <c:pt idx="25">
                    <c:v>Problème présence</c:v>
                  </c:pt>
                  <c:pt idx="26">
                    <c:v>Poche moins que la tolérance</c:v>
                  </c:pt>
                  <c:pt idx="27">
                    <c:v>Manque opération</c:v>
                  </c:pt>
                  <c:pt idx="28">
                    <c:v>Serrage /coincement</c:v>
                  </c:pt>
                  <c:pt idx="29">
                    <c:v>Douille serré</c:v>
                  </c:pt>
                  <c:pt idx="30">
                    <c:v>Probléme insertion douille</c:v>
                  </c:pt>
                  <c:pt idx="31">
                    <c:v>Cote moins que la tolérance </c:v>
                  </c:pt>
                  <c:pt idx="32">
                    <c:v>Problème maintien</c:v>
                  </c:pt>
                  <c:pt idx="33">
                    <c:v>Etanchéité non fiable</c:v>
                  </c:pt>
                  <c:pt idx="34">
                    <c:v>Profondeur non conforme</c:v>
                  </c:pt>
                  <c:pt idx="35">
                    <c:v>Amélioration</c:v>
                  </c:pt>
                  <c:pt idx="36">
                    <c:v>Erreur continuité </c:v>
                  </c:pt>
                  <c:pt idx="37">
                    <c:v>Piéce non conforme au plan</c:v>
                  </c:pt>
                  <c:pt idx="38">
                    <c:v>PB:Assemblage </c:v>
                  </c:pt>
                  <c:pt idx="39">
                    <c:v>Manque opération </c:v>
                  </c:pt>
                  <c:pt idx="40">
                    <c:v>Lamage decalé</c:v>
                  </c:pt>
                  <c:pt idx="41">
                    <c:v>Pérçage moins que la tolérance</c:v>
                  </c:pt>
                  <c:pt idx="42">
                    <c:v>Détection Longuette non effecasse</c:v>
                  </c:pt>
                  <c:pt idx="43">
                    <c:v>composant endommagé</c:v>
                  </c:pt>
                  <c:pt idx="44">
                    <c:v>Face decalé</c:v>
                  </c:pt>
                  <c:pt idx="45">
                    <c:v>Cote plus  que la tolérance </c:v>
                  </c:pt>
                  <c:pt idx="46">
                    <c:v>Poche plus que la tolérance</c:v>
                  </c:pt>
                  <c:pt idx="47">
                    <c:v>PB Détrempage</c:v>
                  </c:pt>
                  <c:pt idx="48">
                    <c:v>Lamage incorecte</c:v>
                  </c:pt>
                  <c:pt idx="49">
                    <c:v>Piéce endommagé</c:v>
                  </c:pt>
                  <c:pt idx="50">
                    <c:v>Manque allésoire</c:v>
                  </c:pt>
                  <c:pt idx="51">
                    <c:v>programme non conforme</c:v>
                  </c:pt>
                  <c:pt idx="52">
                    <c:v>Piéce endommagé</c:v>
                  </c:pt>
                  <c:pt idx="53">
                    <c:v>Manque opération</c:v>
                  </c:pt>
                  <c:pt idx="54">
                    <c:v>Manque opération </c:v>
                  </c:pt>
                  <c:pt idx="55">
                    <c:v>Profondeur non conforme</c:v>
                  </c:pt>
                  <c:pt idx="56">
                    <c:v>programme non conforme </c:v>
                  </c:pt>
                  <c:pt idx="57">
                    <c:v>FAO incorrecte</c:v>
                  </c:pt>
                  <c:pt idx="58">
                    <c:v>Pérçage plus que la tolérance</c:v>
                  </c:pt>
                  <c:pt idx="59">
                    <c:v>Poche moins que la tolérance</c:v>
                  </c:pt>
                  <c:pt idx="60">
                    <c:v>Piéce non conforme au plan</c:v>
                  </c:pt>
                  <c:pt idx="61">
                    <c:v>PRO INCORRECTE</c:v>
                  </c:pt>
                  <c:pt idx="62">
                    <c:v>Modification non effectué</c:v>
                  </c:pt>
                  <c:pt idx="63">
                    <c:v>Pérçage moins que la tolérance</c:v>
                  </c:pt>
                  <c:pt idx="64">
                    <c:v>Manque Face </c:v>
                  </c:pt>
                  <c:pt idx="65">
                    <c:v>Poche plus que la tolérance</c:v>
                  </c:pt>
                  <c:pt idx="66">
                    <c:v>cotation extérieur incorrect</c:v>
                  </c:pt>
                  <c:pt idx="67">
                    <c:v>Lamage incorecte</c:v>
                  </c:pt>
                  <c:pt idx="68">
                    <c:v>Piéce manquante</c:v>
                  </c:pt>
                </c:lvl>
                <c:lvl>
                  <c:pt idx="0">
                    <c:v>usinage incorrecte</c:v>
                  </c:pt>
                  <c:pt idx="25">
                    <c:v>CAO incorrecte</c:v>
                  </c:pt>
                  <c:pt idx="51">
                    <c:v>FAO incorrecte</c:v>
                  </c:pt>
                </c:lvl>
              </c:multiLvlStrCache>
            </c:multiLvlStrRef>
          </c:cat>
          <c:val>
            <c:numRef>
              <c:f>TCD!$F$148:$F$220</c:f>
              <c:numCache>
                <c:formatCode>General</c:formatCode>
                <c:ptCount val="69"/>
                <c:pt idx="0">
                  <c:v>32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16</c:v>
                </c:pt>
                <c:pt idx="26">
                  <c:v>14</c:v>
                </c:pt>
                <c:pt idx="27">
                  <c:v>7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9</c:v>
                </c:pt>
                <c:pt idx="52">
                  <c:v>8</c:v>
                </c:pt>
                <c:pt idx="53">
                  <c:v>7</c:v>
                </c:pt>
                <c:pt idx="54">
                  <c:v>6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6-4348-9B8B-6A34B7A647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2198456"/>
        <c:axId val="1052193056"/>
      </c:barChart>
      <c:catAx>
        <c:axId val="1052198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193056"/>
        <c:crosses val="autoZero"/>
        <c:auto val="1"/>
        <c:lblAlgn val="ctr"/>
        <c:lblOffset val="100"/>
        <c:noMultiLvlLbl val="0"/>
      </c:catAx>
      <c:valAx>
        <c:axId val="1052193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2198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Histogramme de finish-good en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TCD!$AL$22</c:f>
              <c:strCache>
                <c:ptCount val="1"/>
                <c:pt idx="0">
                  <c:v>Tested good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4D6-49DF-AFE5-6C4B72429EA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16-446A-8B4D-2868AC93D41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045-41DA-83A7-15F75790CE8A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7AD-4F33-B573-8CF4DEF0A949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059-4397-85C5-C02985A7C143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16-446A-8B4D-2868AC93D41F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47-4B8F-8009-20D37D49071E}"/>
              </c:ext>
            </c:extLst>
          </c:dPt>
          <c:dLbls>
            <c:dLbl>
              <c:idx val="8"/>
              <c:layout>
                <c:manualLayout>
                  <c:x val="-5.0457015523105616E-17"/>
                  <c:y val="-2.50055622608966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16-446A-8B4D-2868AC93D41F}"/>
                </c:ext>
              </c:extLst>
            </c:dLbl>
            <c:dLbl>
              <c:idx val="10"/>
              <c:layout>
                <c:manualLayout>
                  <c:x val="-2.7522326403739885E-3"/>
                  <c:y val="-2.0004449808717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AD-4F33-B573-8CF4DEF0A949}"/>
                </c:ext>
              </c:extLst>
            </c:dLbl>
            <c:dLbl>
              <c:idx val="21"/>
              <c:layout>
                <c:manualLayout>
                  <c:x val="-1.3779583656551124E-3"/>
                  <c:y val="-1.2502781130448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47-4B8F-8009-20D37D490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TCD!$AM$22:$ND$22</c:f>
              <c:numCache>
                <c:formatCode>General</c:formatCode>
                <c:ptCount val="22"/>
                <c:pt idx="0" formatCode="0">
                  <c:v>35.25</c:v>
                </c:pt>
                <c:pt idx="1">
                  <c:v>31</c:v>
                </c:pt>
                <c:pt idx="2" formatCode="0">
                  <c:v>28.4</c:v>
                </c:pt>
                <c:pt idx="3">
                  <c:v>41</c:v>
                </c:pt>
                <c:pt idx="4">
                  <c:v>34</c:v>
                </c:pt>
                <c:pt idx="5">
                  <c:v>41</c:v>
                </c:pt>
                <c:pt idx="6">
                  <c:v>47</c:v>
                </c:pt>
                <c:pt idx="7">
                  <c:v>43</c:v>
                </c:pt>
                <c:pt idx="8" formatCode="0">
                  <c:v>41.2</c:v>
                </c:pt>
                <c:pt idx="9">
                  <c:v>0</c:v>
                </c:pt>
                <c:pt idx="10" formatCode="0">
                  <c:v>33.533333333333331</c:v>
                </c:pt>
                <c:pt idx="21" formatCode="0">
                  <c:v>34.391666666666666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6-49DF-AFE5-6C4B7242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0"/>
          <c:order val="0"/>
          <c:tx>
            <c:strRef>
              <c:f>TCD!$AL$3</c:f>
              <c:strCache>
                <c:ptCount val="1"/>
                <c:pt idx="0">
                  <c:v>Quantity 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47-4B8F-8009-20D37D490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TCD!$AM$3:$ND$3</c:f>
              <c:numCache>
                <c:formatCode>General</c:formatCode>
                <c:ptCount val="22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6-49DF-AFE5-6C4B72429EAD}"/>
            </c:ext>
          </c:extLst>
        </c:ser>
        <c:ser>
          <c:idx val="1"/>
          <c:order val="1"/>
          <c:tx>
            <c:strRef>
              <c:f>TCD!$AL$4</c:f>
              <c:strCache>
                <c:ptCount val="1"/>
                <c:pt idx="0">
                  <c:v>Quantity stretch target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47-4B8F-8009-20D37D490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TCD!$AM$4:$ND$4</c:f>
              <c:numCache>
                <c:formatCode>General</c:formatCode>
                <c:ptCount val="22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6-49DF-AFE5-6C4B72429EAD}"/>
            </c:ext>
          </c:extLst>
        </c:ser>
        <c:ser>
          <c:idx val="3"/>
          <c:order val="3"/>
          <c:tx>
            <c:strRef>
              <c:f>TCD!$AL$2</c:f>
              <c:strCache>
                <c:ptCount val="1"/>
                <c:pt idx="0">
                  <c:v>Quantity intervention limit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TCD!$AR$2:$ND$2</c:f>
              <c:numCache>
                <c:formatCode>General</c:formatCode>
                <c:ptCount val="22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F7-4D7A-9C92-2EAAC6CE7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 of error rate CNC 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TCD!$AL$15</c:f>
              <c:strCache>
                <c:ptCount val="1"/>
                <c:pt idx="0">
                  <c:v>Taux d'ereur CNC par piece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DB-40D6-9AA1-F503600B5F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TCD!$AM$15:$ND$15</c:f>
              <c:numCache>
                <c:formatCode>0%</c:formatCode>
                <c:ptCount val="22"/>
                <c:pt idx="0">
                  <c:v>3.9047355303240099E-2</c:v>
                </c:pt>
                <c:pt idx="1">
                  <c:v>3.2563025210084036E-2</c:v>
                </c:pt>
                <c:pt idx="2">
                  <c:v>3.5758323057953144E-2</c:v>
                </c:pt>
                <c:pt idx="3">
                  <c:v>3.2863849765258218E-2</c:v>
                </c:pt>
                <c:pt idx="4">
                  <c:v>5.2884615384615384E-2</c:v>
                </c:pt>
                <c:pt idx="5">
                  <c:v>4.9180327868852458E-2</c:v>
                </c:pt>
                <c:pt idx="6">
                  <c:v>2.5380710659898477E-2</c:v>
                </c:pt>
                <c:pt idx="7">
                  <c:v>5.2023121387283239E-2</c:v>
                </c:pt>
                <c:pt idx="8">
                  <c:v>4.2094455852156057E-2</c:v>
                </c:pt>
                <c:pt idx="9">
                  <c:v>0</c:v>
                </c:pt>
                <c:pt idx="10">
                  <c:v>3.6901717208622578E-2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3.8122243226212979E-2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E05-4D4D-818E-5F4AD5C158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1"/>
          <c:order val="0"/>
          <c:tx>
            <c:strRef>
              <c:f>TCD!$AL$5</c:f>
              <c:strCache>
                <c:ptCount val="1"/>
                <c:pt idx="0">
                  <c:v>Objectif % pieces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TCD!$AM$5:$ND$5</c:f>
              <c:numCache>
                <c:formatCode>0%</c:formatCode>
                <c:ptCount val="22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E05-4D4D-818E-5F4AD5C158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RFT-Assembly histogram 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TCD!$AL$16</c:f>
              <c:strCache>
                <c:ptCount val="1"/>
                <c:pt idx="0">
                  <c:v>RFT-Assemby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267-4F8F-8F3F-493007FED38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267-4F8F-8F3F-493007FED38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BCD-4CA6-A948-EB64B2DF40A3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BA7-4C8F-B92E-8AFD206B7FBC}"/>
              </c:ext>
            </c:extLst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1.7389511563511529E-2"/>
                      <c:h val="3.5318543995459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BCD-4CA6-A948-EB64B2DF40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TCD!$AM$16:$ND$16</c:f>
              <c:numCache>
                <c:formatCode>0%</c:formatCode>
                <c:ptCount val="22"/>
                <c:pt idx="0">
                  <c:v>0.88794326241134747</c:v>
                </c:pt>
                <c:pt idx="1">
                  <c:v>0.93548387096774199</c:v>
                </c:pt>
                <c:pt idx="2">
                  <c:v>0.89436619718309862</c:v>
                </c:pt>
                <c:pt idx="3">
                  <c:v>0.90243902439024393</c:v>
                </c:pt>
                <c:pt idx="4">
                  <c:v>0.91176470588235292</c:v>
                </c:pt>
                <c:pt idx="5">
                  <c:v>0.92682926829268297</c:v>
                </c:pt>
                <c:pt idx="6">
                  <c:v>0.87234042553191493</c:v>
                </c:pt>
                <c:pt idx="7">
                  <c:v>0.95348837209302328</c:v>
                </c:pt>
                <c:pt idx="8">
                  <c:v>0.91262135922330101</c:v>
                </c:pt>
                <c:pt idx="9">
                  <c:v>0</c:v>
                </c:pt>
                <c:pt idx="10">
                  <c:v>0.91451292246520877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0.89900662251655628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C0-4F39-940C-7EF0456AD4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1"/>
          <c:order val="0"/>
          <c:tx>
            <c:strRef>
              <c:f>TCD!$AL$9</c:f>
              <c:strCache>
                <c:ptCount val="1"/>
                <c:pt idx="0">
                  <c:v>Objectif RFT-Assembly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TCD!$AM$9:$ND$9</c:f>
              <c:numCache>
                <c:formatCode>0%</c:formatCode>
                <c:ptCount val="2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C0-4F39-940C-7EF0456AD4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 of error rate Assembly 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TCD!$AL$13</c:f>
              <c:strCache>
                <c:ptCount val="1"/>
                <c:pt idx="0">
                  <c:v>Taux d'erreur Assembly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C23-44C8-818B-96FFF261E57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28C-4027-99F9-3DD202D6288D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99C-4600-96AC-992D36585345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23-44C8-818B-96FFF261E57C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6-4D51-B5C9-BB8360815B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TCD!$AM$13:$ND$13</c:f>
              <c:numCache>
                <c:formatCode>0%</c:formatCode>
                <c:ptCount val="22"/>
                <c:pt idx="0" formatCode="0.00%">
                  <c:v>0.11205673758865248</c:v>
                </c:pt>
                <c:pt idx="1">
                  <c:v>6.4516129032258063E-2</c:v>
                </c:pt>
                <c:pt idx="2">
                  <c:v>0.10563380281690141</c:v>
                </c:pt>
                <c:pt idx="3">
                  <c:v>9.7560975609756101E-2</c:v>
                </c:pt>
                <c:pt idx="4">
                  <c:v>8.8235294117647065E-2</c:v>
                </c:pt>
                <c:pt idx="5">
                  <c:v>7.3170731707317069E-2</c:v>
                </c:pt>
                <c:pt idx="6">
                  <c:v>0.1276595744680851</c:v>
                </c:pt>
                <c:pt idx="7">
                  <c:v>4.6511627906976744E-2</c:v>
                </c:pt>
                <c:pt idx="8">
                  <c:v>8.7378640776699032E-2</c:v>
                </c:pt>
                <c:pt idx="9">
                  <c:v>0</c:v>
                </c:pt>
                <c:pt idx="10" formatCode="0.00%">
                  <c:v>8.5487077534791248E-2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 formatCode="0.00%">
                  <c:v>0.10099337748344371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CA-420B-AB5D-E9429B41F2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1"/>
          <c:order val="0"/>
          <c:tx>
            <c:strRef>
              <c:f>TCD!$AL$6</c:f>
              <c:strCache>
                <c:ptCount val="1"/>
                <c:pt idx="0">
                  <c:v>Objectif % module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TCD!$AM$6:$ND$6</c:f>
              <c:numCache>
                <c:formatCode>0%</c:formatCode>
                <c:ptCount val="22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CA-420B-AB5D-E9429B41F2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Efficacity-CNC histogram 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TCD!$AL$17</c:f>
              <c:strCache>
                <c:ptCount val="1"/>
                <c:pt idx="0">
                  <c:v>Efficacité-CNC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TCD!$AM$17:$ND$17</c:f>
              <c:numCache>
                <c:formatCode>0%</c:formatCode>
                <c:ptCount val="22"/>
                <c:pt idx="0">
                  <c:v>0.96095264469675989</c:v>
                </c:pt>
                <c:pt idx="1">
                  <c:v>0.96743697478991597</c:v>
                </c:pt>
                <c:pt idx="2">
                  <c:v>0.96424167694204688</c:v>
                </c:pt>
                <c:pt idx="3">
                  <c:v>0.96713615023474175</c:v>
                </c:pt>
                <c:pt idx="4">
                  <c:v>0.94711538461538458</c:v>
                </c:pt>
                <c:pt idx="5">
                  <c:v>0.95081967213114749</c:v>
                </c:pt>
                <c:pt idx="6">
                  <c:v>0.97461928934010156</c:v>
                </c:pt>
                <c:pt idx="7">
                  <c:v>0.94797687861271673</c:v>
                </c:pt>
                <c:pt idx="8">
                  <c:v>0.9579055441478439</c:v>
                </c:pt>
                <c:pt idx="9">
                  <c:v>0</c:v>
                </c:pt>
                <c:pt idx="10">
                  <c:v>0.96309828279137744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0.96187775677378706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0-476F-B2C4-A6929ED21E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1"/>
          <c:order val="0"/>
          <c:tx>
            <c:strRef>
              <c:f>TCD!$AL$8</c:f>
              <c:strCache>
                <c:ptCount val="1"/>
                <c:pt idx="0">
                  <c:v>Objectif RFT-CNC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TCD!$AM$8:$ND$8</c:f>
              <c:numCache>
                <c:formatCode>0%</c:formatCode>
                <c:ptCount val="22"/>
                <c:pt idx="0">
                  <c:v>0.94</c:v>
                </c:pt>
                <c:pt idx="1">
                  <c:v>0.94</c:v>
                </c:pt>
                <c:pt idx="2">
                  <c:v>0.94</c:v>
                </c:pt>
                <c:pt idx="3">
                  <c:v>0.94</c:v>
                </c:pt>
                <c:pt idx="4">
                  <c:v>0.94</c:v>
                </c:pt>
                <c:pt idx="5">
                  <c:v>0.94</c:v>
                </c:pt>
                <c:pt idx="6">
                  <c:v>0.94</c:v>
                </c:pt>
                <c:pt idx="7">
                  <c:v>0.94</c:v>
                </c:pt>
                <c:pt idx="8">
                  <c:v>0.94</c:v>
                </c:pt>
                <c:pt idx="9">
                  <c:v>0.94</c:v>
                </c:pt>
                <c:pt idx="10">
                  <c:v>0.94</c:v>
                </c:pt>
                <c:pt idx="11">
                  <c:v>0.94</c:v>
                </c:pt>
                <c:pt idx="12">
                  <c:v>0.94</c:v>
                </c:pt>
                <c:pt idx="13">
                  <c:v>0.94</c:v>
                </c:pt>
                <c:pt idx="14">
                  <c:v>0.94</c:v>
                </c:pt>
                <c:pt idx="15">
                  <c:v>0.94</c:v>
                </c:pt>
                <c:pt idx="16">
                  <c:v>0.94</c:v>
                </c:pt>
                <c:pt idx="17">
                  <c:v>0.94</c:v>
                </c:pt>
                <c:pt idx="18">
                  <c:v>0.94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F0-476F-B2C4-A6929ED21E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RFT-MMC histogram 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TCD!$AL$20</c:f>
              <c:strCache>
                <c:ptCount val="1"/>
                <c:pt idx="0">
                  <c:v>RFT-MMC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41-4ED1-A0B9-E939A3816C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TCD!$AM$20:$ND$20</c:f>
              <c:numCache>
                <c:formatCode>0%</c:formatCode>
                <c:ptCount val="22"/>
                <c:pt idx="0">
                  <c:v>0.68794326241134751</c:v>
                </c:pt>
                <c:pt idx="1">
                  <c:v>0.73548387096774193</c:v>
                </c:pt>
                <c:pt idx="2">
                  <c:v>0.6901408450704225</c:v>
                </c:pt>
                <c:pt idx="3">
                  <c:v>0.73170731707317072</c:v>
                </c:pt>
                <c:pt idx="4">
                  <c:v>0.58823529411764708</c:v>
                </c:pt>
                <c:pt idx="5">
                  <c:v>0.70731707317073167</c:v>
                </c:pt>
                <c:pt idx="6">
                  <c:v>0.76595744680851063</c:v>
                </c:pt>
                <c:pt idx="7">
                  <c:v>0.7441860465116279</c:v>
                </c:pt>
                <c:pt idx="8">
                  <c:v>0.71359223300970875</c:v>
                </c:pt>
                <c:pt idx="9">
                  <c:v>0</c:v>
                </c:pt>
                <c:pt idx="10">
                  <c:v>0.71371769383697814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0.69867549668874174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3-41DD-9247-1624AC13E1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1"/>
          <c:order val="0"/>
          <c:tx>
            <c:strRef>
              <c:f>TCD!$AL$10</c:f>
              <c:strCache>
                <c:ptCount val="1"/>
                <c:pt idx="0">
                  <c:v>Objectif RFT-MMC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TCD!$AM$10:$ND$10</c:f>
              <c:numCache>
                <c:formatCode>0%</c:formatCode>
                <c:ptCount val="2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C3-41DD-9247-1624AC13E1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 of error rate MMC 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TCD!$AL$19</c:f>
              <c:strCache>
                <c:ptCount val="1"/>
                <c:pt idx="0">
                  <c:v>Taux d'erreur MMC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9D-4FC3-8264-F10DA7D290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TCD!$AM$19:$ND$19</c:f>
              <c:numCache>
                <c:formatCode>0%</c:formatCode>
                <c:ptCount val="22"/>
                <c:pt idx="0">
                  <c:v>0.31205673758865249</c:v>
                </c:pt>
                <c:pt idx="1">
                  <c:v>0.26451612903225807</c:v>
                </c:pt>
                <c:pt idx="2">
                  <c:v>0.30985915492957744</c:v>
                </c:pt>
                <c:pt idx="3">
                  <c:v>0.26829268292682928</c:v>
                </c:pt>
                <c:pt idx="4">
                  <c:v>0.41176470588235292</c:v>
                </c:pt>
                <c:pt idx="5">
                  <c:v>0.29268292682926828</c:v>
                </c:pt>
                <c:pt idx="6">
                  <c:v>0.23404255319148937</c:v>
                </c:pt>
                <c:pt idx="7">
                  <c:v>0.2558139534883721</c:v>
                </c:pt>
                <c:pt idx="8">
                  <c:v>0.28640776699029125</c:v>
                </c:pt>
                <c:pt idx="9">
                  <c:v>0</c:v>
                </c:pt>
                <c:pt idx="10">
                  <c:v>0.28628230616302186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0.30132450331125826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2-468D-AD12-8B4C9B8AD9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1"/>
          <c:order val="0"/>
          <c:tx>
            <c:strRef>
              <c:f>TCD!$AL$7</c:f>
              <c:strCache>
                <c:ptCount val="1"/>
                <c:pt idx="0">
                  <c:v>Objectif % MMC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TCD!$AM$7:$ND$7</c:f>
              <c:numCache>
                <c:formatCode>0%</c:formatCode>
                <c:ptCount val="2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2-468D-AD12-8B4C9B8AD9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dynamique9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des type des deffaillances technique causé par CAO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TCD!$B$213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TCD!$A$214:$A$218</c:f>
              <c:multiLvlStrCache>
                <c:ptCount val="2"/>
                <c:lvl>
                  <c:pt idx="0">
                    <c:v>CAO incorrecte</c:v>
                  </c:pt>
                  <c:pt idx="1">
                    <c:v>CAO incorrecte</c:v>
                  </c:pt>
                </c:lvl>
                <c:lvl>
                  <c:pt idx="0">
                    <c:v>Prototype</c:v>
                  </c:pt>
                  <c:pt idx="1">
                    <c:v>Duplication</c:v>
                  </c:pt>
                </c:lvl>
              </c:multiLvlStrCache>
            </c:multiLvlStrRef>
          </c:cat>
          <c:val>
            <c:numRef>
              <c:f>TCD!$B$214:$B$218</c:f>
              <c:numCache>
                <c:formatCode>General</c:formatCode>
                <c:ptCount val="2"/>
                <c:pt idx="0">
                  <c:v>73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6-4F2E-A7D8-700A64CE24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0275056"/>
        <c:axId val="600273616"/>
      </c:barChart>
      <c:catAx>
        <c:axId val="60027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273616"/>
        <c:crosses val="autoZero"/>
        <c:auto val="1"/>
        <c:lblAlgn val="ctr"/>
        <c:lblOffset val="100"/>
        <c:noMultiLvlLbl val="0"/>
      </c:catAx>
      <c:valAx>
        <c:axId val="600273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027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dynamique13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des type des deffaillances technique causé par FAO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TCD!$D$242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TCD!$C$243:$C$248</c:f>
              <c:multiLvlStrCache>
                <c:ptCount val="3"/>
                <c:lvl>
                  <c:pt idx="0">
                    <c:v>FAO incorrecte</c:v>
                  </c:pt>
                  <c:pt idx="1">
                    <c:v>Usinage incomplet</c:v>
                  </c:pt>
                  <c:pt idx="2">
                    <c:v>FAO incorrecte</c:v>
                  </c:pt>
                </c:lvl>
                <c:lvl>
                  <c:pt idx="0">
                    <c:v>Prototype</c:v>
                  </c:pt>
                  <c:pt idx="2">
                    <c:v>Duplication</c:v>
                  </c:pt>
                </c:lvl>
              </c:multiLvlStrCache>
            </c:multiLvlStrRef>
          </c:cat>
          <c:val>
            <c:numRef>
              <c:f>TCD!$D$243:$D$248</c:f>
              <c:numCache>
                <c:formatCode>General</c:formatCode>
                <c:ptCount val="3"/>
                <c:pt idx="0">
                  <c:v>37</c:v>
                </c:pt>
                <c:pt idx="1">
                  <c:v>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2-4F4E-8911-594C9ECF42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1864832"/>
        <c:axId val="611862312"/>
      </c:barChart>
      <c:catAx>
        <c:axId val="61186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62312"/>
        <c:crosses val="autoZero"/>
        <c:auto val="1"/>
        <c:lblAlgn val="ctr"/>
        <c:lblOffset val="100"/>
        <c:noMultiLvlLbl val="0"/>
      </c:catAx>
      <c:valAx>
        <c:axId val="611862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186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dynamique14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defaut par processus/phase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TCD!$B$179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TCD!$A$180:$A$192</c:f>
              <c:multiLvlStrCache>
                <c:ptCount val="10"/>
                <c:lvl>
                  <c:pt idx="0">
                    <c:v>CAO</c:v>
                  </c:pt>
                  <c:pt idx="1">
                    <c:v>CNC</c:v>
                  </c:pt>
                  <c:pt idx="2">
                    <c:v>FAO</c:v>
                  </c:pt>
                  <c:pt idx="3">
                    <c:v>MONTAGE</c:v>
                  </c:pt>
                  <c:pt idx="4">
                    <c:v>contrôle technique</c:v>
                  </c:pt>
                  <c:pt idx="5">
                    <c:v>CNC</c:v>
                  </c:pt>
                  <c:pt idx="6">
                    <c:v>FAO</c:v>
                  </c:pt>
                  <c:pt idx="7">
                    <c:v>MONTAGE</c:v>
                  </c:pt>
                  <c:pt idx="8">
                    <c:v>CAO</c:v>
                  </c:pt>
                  <c:pt idx="9">
                    <c:v>contrôle technique</c:v>
                  </c:pt>
                </c:lvl>
                <c:lvl>
                  <c:pt idx="0">
                    <c:v>Prototype</c:v>
                  </c:pt>
                  <c:pt idx="5">
                    <c:v>Duplication</c:v>
                  </c:pt>
                </c:lvl>
              </c:multiLvlStrCache>
            </c:multiLvlStrRef>
          </c:cat>
          <c:val>
            <c:numRef>
              <c:f>TCD!$B$180:$B$192</c:f>
              <c:numCache>
                <c:formatCode>General</c:formatCode>
                <c:ptCount val="10"/>
                <c:pt idx="0">
                  <c:v>75</c:v>
                </c:pt>
                <c:pt idx="1">
                  <c:v>63</c:v>
                </c:pt>
                <c:pt idx="2">
                  <c:v>38</c:v>
                </c:pt>
                <c:pt idx="3">
                  <c:v>10</c:v>
                </c:pt>
                <c:pt idx="4">
                  <c:v>1</c:v>
                </c:pt>
                <c:pt idx="5">
                  <c:v>123</c:v>
                </c:pt>
                <c:pt idx="6">
                  <c:v>22</c:v>
                </c:pt>
                <c:pt idx="7">
                  <c:v>16</c:v>
                </c:pt>
                <c:pt idx="8">
                  <c:v>7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3-4847-9E17-FF09CFA00A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2855848"/>
        <c:axId val="932855488"/>
      </c:barChart>
      <c:catAx>
        <c:axId val="932855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855488"/>
        <c:crosses val="autoZero"/>
        <c:auto val="1"/>
        <c:lblAlgn val="ctr"/>
        <c:lblOffset val="100"/>
        <c:noMultiLvlLbl val="0"/>
      </c:catAx>
      <c:valAx>
        <c:axId val="932855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2855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dynamique15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des type des deffaillances technique causé par CNC</a:t>
            </a:r>
          </a:p>
        </c:rich>
      </c:tx>
      <c:layout>
        <c:manualLayout>
          <c:xMode val="edge"/>
          <c:yMode val="edge"/>
          <c:x val="0.32001090061749615"/>
          <c:y val="9.5180810731991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TCD!$F$271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TCD!$E$272:$E$287</c:f>
              <c:multiLvlStrCache>
                <c:ptCount val="13"/>
                <c:lvl>
                  <c:pt idx="0">
                    <c:v>usinage incorrecte</c:v>
                  </c:pt>
                  <c:pt idx="1">
                    <c:v>Usinage incomplet</c:v>
                  </c:pt>
                  <c:pt idx="2">
                    <c:v>contre-partie " Clips/douille" non montable</c:v>
                  </c:pt>
                  <c:pt idx="3">
                    <c:v>Profondeur "Z" non correcte</c:v>
                  </c:pt>
                  <c:pt idx="4">
                    <c:v>Pièce rebut</c:v>
                  </c:pt>
                  <c:pt idx="5">
                    <c:v>CAO incorrecte</c:v>
                  </c:pt>
                  <c:pt idx="6">
                    <c:v>element manquant</c:v>
                  </c:pt>
                  <c:pt idx="7">
                    <c:v>usinage incorrecte</c:v>
                  </c:pt>
                  <c:pt idx="8">
                    <c:v>Usinage incomplet</c:v>
                  </c:pt>
                  <c:pt idx="9">
                    <c:v>Profondeur "Z" non correcte</c:v>
                  </c:pt>
                  <c:pt idx="10">
                    <c:v>Pièce rebut</c:v>
                  </c:pt>
                  <c:pt idx="11">
                    <c:v>contre-partie " Clips/douille" non montable</c:v>
                  </c:pt>
                  <c:pt idx="12">
                    <c:v>element manquant</c:v>
                  </c:pt>
                </c:lvl>
                <c:lvl>
                  <c:pt idx="0">
                    <c:v>Duplication</c:v>
                  </c:pt>
                  <c:pt idx="7">
                    <c:v>Prototype</c:v>
                  </c:pt>
                </c:lvl>
              </c:multiLvlStrCache>
            </c:multiLvlStrRef>
          </c:cat>
          <c:val>
            <c:numRef>
              <c:f>TCD!$F$272:$F$287</c:f>
              <c:numCache>
                <c:formatCode>General</c:formatCode>
                <c:ptCount val="13"/>
                <c:pt idx="0">
                  <c:v>78</c:v>
                </c:pt>
                <c:pt idx="1">
                  <c:v>21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37</c:v>
                </c:pt>
                <c:pt idx="8">
                  <c:v>11</c:v>
                </c:pt>
                <c:pt idx="9">
                  <c:v>7</c:v>
                </c:pt>
                <c:pt idx="10">
                  <c:v>5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E-4E96-B9D8-25A8E700A9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5784056"/>
        <c:axId val="925782256"/>
      </c:barChart>
      <c:catAx>
        <c:axId val="92578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82256"/>
        <c:crosses val="autoZero"/>
        <c:auto val="1"/>
        <c:lblAlgn val="ctr"/>
        <c:lblOffset val="100"/>
        <c:noMultiLvlLbl val="0"/>
      </c:catAx>
      <c:valAx>
        <c:axId val="925782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25784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dynamique16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des type des deffaillances technique causé par Montage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TCD!$H$309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TCD!$G$310:$G$318</c:f>
              <c:multiLvlStrCache>
                <c:ptCount val="6"/>
                <c:lvl>
                  <c:pt idx="0">
                    <c:v>Branchement electrique non conforme</c:v>
                  </c:pt>
                  <c:pt idx="1">
                    <c:v>Pièce rebut</c:v>
                  </c:pt>
                  <c:pt idx="2">
                    <c:v>element manquant</c:v>
                  </c:pt>
                  <c:pt idx="3">
                    <c:v>Erreur continuité </c:v>
                  </c:pt>
                  <c:pt idx="4">
                    <c:v>Pièce rebut</c:v>
                  </c:pt>
                  <c:pt idx="5">
                    <c:v>Branchement electrique non conforme</c:v>
                  </c:pt>
                </c:lvl>
                <c:lvl>
                  <c:pt idx="0">
                    <c:v>Duplication</c:v>
                  </c:pt>
                  <c:pt idx="4">
                    <c:v>Prototype</c:v>
                  </c:pt>
                </c:lvl>
              </c:multiLvlStrCache>
            </c:multiLvlStrRef>
          </c:cat>
          <c:val>
            <c:numRef>
              <c:f>TCD!$H$310:$H$318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5-4694-8700-239EE84D42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1718536"/>
        <c:axId val="981719976"/>
      </c:barChart>
      <c:catAx>
        <c:axId val="98171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719976"/>
        <c:crosses val="autoZero"/>
        <c:auto val="1"/>
        <c:lblAlgn val="ctr"/>
        <c:lblOffset val="100"/>
        <c:noMultiLvlLbl val="0"/>
      </c:catAx>
      <c:valAx>
        <c:axId val="981719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1718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dynamique17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chart of defects by CAO process MTD-02-2026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TCD!$Q$112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TCD!$P$113:$P$117</c:f>
              <c:strCache>
                <c:ptCount val="4"/>
                <c:pt idx="0">
                  <c:v>refaire l'operation</c:v>
                </c:pt>
                <c:pt idx="1">
                  <c:v>mise en rebut</c:v>
                </c:pt>
                <c:pt idx="2">
                  <c:v>Demande de remplacement</c:v>
                </c:pt>
                <c:pt idx="3">
                  <c:v>refaire la piece</c:v>
                </c:pt>
              </c:strCache>
            </c:strRef>
          </c:cat>
          <c:val>
            <c:numRef>
              <c:f>TCD!$Q$113:$Q$117</c:f>
              <c:numCache>
                <c:formatCode>General</c:formatCode>
                <c:ptCount val="4"/>
                <c:pt idx="0">
                  <c:v>27</c:v>
                </c:pt>
                <c:pt idx="1">
                  <c:v>8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A-49D4-949E-677BBDA4A2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1915048"/>
        <c:axId val="601918648"/>
      </c:barChart>
      <c:catAx>
        <c:axId val="601915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18648"/>
        <c:crosses val="autoZero"/>
        <c:auto val="1"/>
        <c:lblAlgn val="ctr"/>
        <c:lblOffset val="100"/>
        <c:noMultiLvlLbl val="0"/>
      </c:catAx>
      <c:valAx>
        <c:axId val="601918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1915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dynamique18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chart of defects by FAO process MTD-02-2026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TCD!$S$132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TCD!$R$133:$R$135</c:f>
              <c:strCache>
                <c:ptCount val="2"/>
                <c:pt idx="0">
                  <c:v>mise en rebut</c:v>
                </c:pt>
                <c:pt idx="1">
                  <c:v>refaire l'operation</c:v>
                </c:pt>
              </c:strCache>
            </c:strRef>
          </c:cat>
          <c:val>
            <c:numRef>
              <c:f>TCD!$S$133:$S$135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2-42AA-BEE4-CC5AF361ED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3021320"/>
        <c:axId val="603023840"/>
      </c:barChart>
      <c:catAx>
        <c:axId val="6030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023840"/>
        <c:crosses val="autoZero"/>
        <c:auto val="1"/>
        <c:lblAlgn val="ctr"/>
        <c:lblOffset val="100"/>
        <c:noMultiLvlLbl val="0"/>
      </c:catAx>
      <c:valAx>
        <c:axId val="603023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3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dynamique19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chart of defects by CNC process MTD-02-2026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TCD!$U$156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TCD!$T$157:$T$160</c:f>
              <c:strCache>
                <c:ptCount val="3"/>
                <c:pt idx="0">
                  <c:v>refaire l'operation</c:v>
                </c:pt>
                <c:pt idx="1">
                  <c:v>mise en rebut</c:v>
                </c:pt>
                <c:pt idx="2">
                  <c:v>refaire la piece</c:v>
                </c:pt>
              </c:strCache>
            </c:strRef>
          </c:cat>
          <c:val>
            <c:numRef>
              <c:f>TCD!$U$157:$U$160</c:f>
              <c:numCache>
                <c:formatCode>General</c:formatCode>
                <c:ptCount val="3"/>
                <c:pt idx="0">
                  <c:v>46</c:v>
                </c:pt>
                <c:pt idx="1">
                  <c:v>29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010-A9C1-7C1A7A16A2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7086136"/>
        <c:axId val="1007085776"/>
      </c:barChart>
      <c:catAx>
        <c:axId val="100708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85776"/>
        <c:crosses val="autoZero"/>
        <c:auto val="1"/>
        <c:lblAlgn val="ctr"/>
        <c:lblOffset val="100"/>
        <c:noMultiLvlLbl val="0"/>
      </c:catAx>
      <c:valAx>
        <c:axId val="1007085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708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dynamique20</c:name>
    <c:fmtId val="6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 des défauts par processus Montage MTD-02-2026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TCD!$W$181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TCD!$V$182:$V$184</c:f>
              <c:strCache>
                <c:ptCount val="2"/>
                <c:pt idx="0">
                  <c:v>Demande de remplacement</c:v>
                </c:pt>
                <c:pt idx="1">
                  <c:v>mise en rebut</c:v>
                </c:pt>
              </c:strCache>
            </c:strRef>
          </c:cat>
          <c:val>
            <c:numRef>
              <c:f>TCD!$W$182:$W$184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B-43D6-995D-5BBFECF981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7083616"/>
        <c:axId val="452496464"/>
      </c:barChart>
      <c:catAx>
        <c:axId val="10070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96464"/>
        <c:crosses val="autoZero"/>
        <c:auto val="1"/>
        <c:lblAlgn val="ctr"/>
        <c:lblOffset val="100"/>
        <c:noMultiLvlLbl val="0"/>
      </c:catAx>
      <c:valAx>
        <c:axId val="4524964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708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RFT-CNC histogram in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TCD!$AL$18</c:f>
              <c:strCache>
                <c:ptCount val="1"/>
                <c:pt idx="0">
                  <c:v>RFT-CNC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E0-48A2-85EA-422EFF403F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TCD!$AM$18:$ND$18</c:f>
              <c:numCache>
                <c:formatCode>0%</c:formatCode>
                <c:ptCount val="22"/>
                <c:pt idx="0">
                  <c:v>0.8</c:v>
                </c:pt>
                <c:pt idx="1">
                  <c:v>0.8</c:v>
                </c:pt>
                <c:pt idx="2">
                  <c:v>0.89436619718309862</c:v>
                </c:pt>
                <c:pt idx="3">
                  <c:v>0.90243902439024393</c:v>
                </c:pt>
                <c:pt idx="4">
                  <c:v>0.91176470588235292</c:v>
                </c:pt>
                <c:pt idx="5">
                  <c:v>0.92682926829268297</c:v>
                </c:pt>
                <c:pt idx="6">
                  <c:v>0.87234042553191493</c:v>
                </c:pt>
                <c:pt idx="7">
                  <c:v>0.95348837209302328</c:v>
                </c:pt>
                <c:pt idx="8">
                  <c:v>0.91262135922330101</c:v>
                </c:pt>
                <c:pt idx="9">
                  <c:v>0</c:v>
                </c:pt>
                <c:pt idx="10">
                  <c:v>0.79920477137176937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0.79966887417218546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E-47D4-BD95-937C86C07D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0652032"/>
        <c:axId val="1000645192"/>
      </c:barChart>
      <c:lineChart>
        <c:grouping val="standard"/>
        <c:varyColors val="0"/>
        <c:ser>
          <c:idx val="1"/>
          <c:order val="0"/>
          <c:tx>
            <c:strRef>
              <c:f>TCD!$AL$8</c:f>
              <c:strCache>
                <c:ptCount val="1"/>
                <c:pt idx="0">
                  <c:v>Objectif RFT-CNC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TCD!$AM$8:$ND$8</c:f>
              <c:numCache>
                <c:formatCode>0%</c:formatCode>
                <c:ptCount val="22"/>
                <c:pt idx="0">
                  <c:v>0.94</c:v>
                </c:pt>
                <c:pt idx="1">
                  <c:v>0.94</c:v>
                </c:pt>
                <c:pt idx="2">
                  <c:v>0.94</c:v>
                </c:pt>
                <c:pt idx="3">
                  <c:v>0.94</c:v>
                </c:pt>
                <c:pt idx="4">
                  <c:v>0.94</c:v>
                </c:pt>
                <c:pt idx="5">
                  <c:v>0.94</c:v>
                </c:pt>
                <c:pt idx="6">
                  <c:v>0.94</c:v>
                </c:pt>
                <c:pt idx="7">
                  <c:v>0.94</c:v>
                </c:pt>
                <c:pt idx="8">
                  <c:v>0.94</c:v>
                </c:pt>
                <c:pt idx="9">
                  <c:v>0.94</c:v>
                </c:pt>
                <c:pt idx="10">
                  <c:v>0.94</c:v>
                </c:pt>
                <c:pt idx="11">
                  <c:v>0.94</c:v>
                </c:pt>
                <c:pt idx="12">
                  <c:v>0.94</c:v>
                </c:pt>
                <c:pt idx="13">
                  <c:v>0.94</c:v>
                </c:pt>
                <c:pt idx="14">
                  <c:v>0.94</c:v>
                </c:pt>
                <c:pt idx="15">
                  <c:v>0.94</c:v>
                </c:pt>
                <c:pt idx="16">
                  <c:v>0.94</c:v>
                </c:pt>
                <c:pt idx="17">
                  <c:v>0.94</c:v>
                </c:pt>
                <c:pt idx="18">
                  <c:v>0.94</c:v>
                </c:pt>
                <c:pt idx="19">
                  <c:v>0.94</c:v>
                </c:pt>
                <c:pt idx="20">
                  <c:v>0.94</c:v>
                </c:pt>
                <c:pt idx="2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2E-47D4-BD95-937C86C07D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0652032"/>
        <c:axId val="1000645192"/>
      </c:line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Histogramme de Prototyping/finish good en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TCD!$AL$21</c:f>
              <c:strCache>
                <c:ptCount val="1"/>
                <c:pt idx="0">
                  <c:v>Prototyping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TCD!$AM$1:$ND$1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TCD!$AM$21:$ND$21</c:f>
              <c:numCache>
                <c:formatCode>General</c:formatCode>
                <c:ptCount val="22"/>
                <c:pt idx="0" formatCode="0">
                  <c:v>4.7</c:v>
                </c:pt>
                <c:pt idx="1">
                  <c:v>5.2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5.2</c:v>
                </c:pt>
                <c:pt idx="9">
                  <c:v>0</c:v>
                </c:pt>
                <c:pt idx="10" formatCode="0">
                  <c:v>5.1333333333333329</c:v>
                </c:pt>
                <c:pt idx="21" formatCode="0">
                  <c:v>4.9166666666666661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CF-477D-B8DF-B4E3C7DC8F9F}"/>
            </c:ext>
          </c:extLst>
        </c:ser>
        <c:ser>
          <c:idx val="3"/>
          <c:order val="1"/>
          <c:tx>
            <c:strRef>
              <c:f>TCD!$AL$22</c:f>
              <c:strCache>
                <c:ptCount val="1"/>
                <c:pt idx="0">
                  <c:v>Tested good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9-4E97-A3F1-5B3C2E04139C}"/>
              </c:ext>
            </c:extLst>
          </c:dPt>
          <c:dPt>
            <c:idx val="2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9-4E97-A3F1-5B3C2E0413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TCD!$AR$22:$ND$22</c:f>
              <c:numCache>
                <c:formatCode>General</c:formatCode>
                <c:ptCount val="22"/>
                <c:pt idx="0" formatCode="0">
                  <c:v>35.25</c:v>
                </c:pt>
                <c:pt idx="1">
                  <c:v>31</c:v>
                </c:pt>
                <c:pt idx="2" formatCode="0">
                  <c:v>28.4</c:v>
                </c:pt>
                <c:pt idx="3">
                  <c:v>41</c:v>
                </c:pt>
                <c:pt idx="4">
                  <c:v>34</c:v>
                </c:pt>
                <c:pt idx="5">
                  <c:v>41</c:v>
                </c:pt>
                <c:pt idx="6">
                  <c:v>47</c:v>
                </c:pt>
                <c:pt idx="7">
                  <c:v>43</c:v>
                </c:pt>
                <c:pt idx="8" formatCode="0">
                  <c:v>41.2</c:v>
                </c:pt>
                <c:pt idx="9">
                  <c:v>0</c:v>
                </c:pt>
                <c:pt idx="10" formatCode="0">
                  <c:v>33.533333333333331</c:v>
                </c:pt>
                <c:pt idx="21" formatCode="0">
                  <c:v>34.391666666666666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CF-477D-B8DF-B4E3C7DC8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652032"/>
        <c:axId val="1000645192"/>
      </c:bar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[01-KPI'S 2027.xlsx]TCD!Tableau croisé dynamique7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fault detection MTD-02-2026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TCD!$H$328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TCD!$G$329:$G$353</c:f>
              <c:multiLvlStrCache>
                <c:ptCount val="22"/>
                <c:lvl>
                  <c:pt idx="0">
                    <c:v>Poche moins que la tolérance</c:v>
                  </c:pt>
                  <c:pt idx="1">
                    <c:v>Problème présence</c:v>
                  </c:pt>
                  <c:pt idx="2">
                    <c:v>Profondeur non conforme</c:v>
                  </c:pt>
                  <c:pt idx="3">
                    <c:v>Piéce endommagé</c:v>
                  </c:pt>
                  <c:pt idx="4">
                    <c:v>Manque opération</c:v>
                  </c:pt>
                  <c:pt idx="5">
                    <c:v>composant endommagé</c:v>
                  </c:pt>
                  <c:pt idx="6">
                    <c:v>Manque opération </c:v>
                  </c:pt>
                  <c:pt idx="7">
                    <c:v>Pérçage moins que la tolérance</c:v>
                  </c:pt>
                  <c:pt idx="8">
                    <c:v>programme non conforme</c:v>
                  </c:pt>
                  <c:pt idx="9">
                    <c:v>Serrage /coincement</c:v>
                  </c:pt>
                  <c:pt idx="10">
                    <c:v>Piéce manquante</c:v>
                  </c:pt>
                  <c:pt idx="11">
                    <c:v>Modification non effectué</c:v>
                  </c:pt>
                  <c:pt idx="12">
                    <c:v>Poche moins que la tolérance</c:v>
                  </c:pt>
                  <c:pt idx="13">
                    <c:v>Piéce endommagé</c:v>
                  </c:pt>
                  <c:pt idx="14">
                    <c:v>composant endommagé</c:v>
                  </c:pt>
                  <c:pt idx="15">
                    <c:v>Profondeur non conforme</c:v>
                  </c:pt>
                  <c:pt idx="16">
                    <c:v>Manque Face </c:v>
                  </c:pt>
                  <c:pt idx="17">
                    <c:v>Manque opération </c:v>
                  </c:pt>
                  <c:pt idx="18">
                    <c:v>Poche plus que la tolérance</c:v>
                  </c:pt>
                  <c:pt idx="19">
                    <c:v>Pérçage decalé</c:v>
                  </c:pt>
                  <c:pt idx="20">
                    <c:v>Pérçage plus que la tolérance</c:v>
                  </c:pt>
                  <c:pt idx="21">
                    <c:v>Pérçage moins que la tolérance</c:v>
                  </c:pt>
                </c:lvl>
                <c:lvl>
                  <c:pt idx="0">
                    <c:v>Prototype</c:v>
                  </c:pt>
                  <c:pt idx="12">
                    <c:v>Duplication</c:v>
                  </c:pt>
                </c:lvl>
              </c:multiLvlStrCache>
            </c:multiLvlStrRef>
          </c:cat>
          <c:val>
            <c:numRef>
              <c:f>TCD!$H$329:$H$353</c:f>
              <c:numCache>
                <c:formatCode>General</c:formatCode>
                <c:ptCount val="22"/>
                <c:pt idx="0">
                  <c:v>22</c:v>
                </c:pt>
                <c:pt idx="1">
                  <c:v>17</c:v>
                </c:pt>
                <c:pt idx="2">
                  <c:v>13</c:v>
                </c:pt>
                <c:pt idx="3">
                  <c:v>13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32</c:v>
                </c:pt>
                <c:pt idx="13">
                  <c:v>15</c:v>
                </c:pt>
                <c:pt idx="14">
                  <c:v>11</c:v>
                </c:pt>
                <c:pt idx="15">
                  <c:v>10</c:v>
                </c:pt>
                <c:pt idx="16">
                  <c:v>8</c:v>
                </c:pt>
                <c:pt idx="17">
                  <c:v>7</c:v>
                </c:pt>
                <c:pt idx="18">
                  <c:v>7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3-4568-9750-CC1999FD00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0947416"/>
        <c:axId val="420947776"/>
      </c:barChart>
      <c:catAx>
        <c:axId val="42094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47776"/>
        <c:crosses val="autoZero"/>
        <c:auto val="1"/>
        <c:lblAlgn val="ctr"/>
        <c:lblOffset val="100"/>
        <c:noMultiLvlLbl val="0"/>
      </c:catAx>
      <c:valAx>
        <c:axId val="420947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94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Histogramme de Taux de prototypage en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TCD!$AL$28</c:f>
              <c:strCache>
                <c:ptCount val="1"/>
                <c:pt idx="0">
                  <c:v>Taux de prototypage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TCD!$BK$1:$ND$1</c:f>
              <c:strCache>
                <c:ptCount val="22"/>
                <c:pt idx="0">
                  <c:v>Janvier</c:v>
                </c:pt>
                <c:pt idx="1">
                  <c:v>KW06</c:v>
                </c:pt>
                <c:pt idx="2">
                  <c:v>KW07</c:v>
                </c:pt>
                <c:pt idx="3">
                  <c:v>16/02/2025</c:v>
                </c:pt>
                <c:pt idx="4">
                  <c:v>17/02/2025</c:v>
                </c:pt>
                <c:pt idx="5">
                  <c:v>18/02/2025</c:v>
                </c:pt>
                <c:pt idx="6">
                  <c:v>19/02/2025</c:v>
                </c:pt>
                <c:pt idx="7">
                  <c:v>20/02/2025</c:v>
                </c:pt>
                <c:pt idx="8">
                  <c:v>KW08</c:v>
                </c:pt>
                <c:pt idx="9">
                  <c:v>KW09</c:v>
                </c:pt>
                <c:pt idx="10">
                  <c:v>Fevrier</c:v>
                </c:pt>
                <c:pt idx="11">
                  <c:v>Mars</c:v>
                </c:pt>
                <c:pt idx="12">
                  <c:v>Avril</c:v>
                </c:pt>
                <c:pt idx="13">
                  <c:v>Mai</c:v>
                </c:pt>
                <c:pt idx="14">
                  <c:v>Juin</c:v>
                </c:pt>
                <c:pt idx="15">
                  <c:v>Juillet</c:v>
                </c:pt>
                <c:pt idx="16">
                  <c:v>Aout</c:v>
                </c:pt>
                <c:pt idx="17">
                  <c:v>Septembre</c:v>
                </c:pt>
                <c:pt idx="18">
                  <c:v>Octobre</c:v>
                </c:pt>
                <c:pt idx="19">
                  <c:v>Novembre</c:v>
                </c:pt>
                <c:pt idx="20">
                  <c:v>Decembre</c:v>
                </c:pt>
                <c:pt idx="21">
                  <c:v>2026</c:v>
                </c:pt>
              </c:strCache>
            </c:strRef>
          </c:cat>
          <c:val>
            <c:numRef>
              <c:f>TCD!$AR$28:$ND$28</c:f>
              <c:numCache>
                <c:formatCode>0.00%</c:formatCode>
                <c:ptCount val="22"/>
                <c:pt idx="0">
                  <c:v>0.13333333333333333</c:v>
                </c:pt>
                <c:pt idx="1">
                  <c:v>0.16774193548387098</c:v>
                </c:pt>
                <c:pt idx="2">
                  <c:v>0.176056338028169</c:v>
                </c:pt>
                <c:pt idx="3">
                  <c:v>9.7560975609756101E-2</c:v>
                </c:pt>
                <c:pt idx="4">
                  <c:v>0.11764705882352941</c:v>
                </c:pt>
                <c:pt idx="5">
                  <c:v>0.17073170731707318</c:v>
                </c:pt>
                <c:pt idx="6">
                  <c:v>0.1276595744680851</c:v>
                </c:pt>
                <c:pt idx="7">
                  <c:v>0.11627906976744186</c:v>
                </c:pt>
                <c:pt idx="8">
                  <c:v>0.12621359223300971</c:v>
                </c:pt>
                <c:pt idx="9">
                  <c:v>0</c:v>
                </c:pt>
                <c:pt idx="10">
                  <c:v>0.15308151093439365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0.14155629139072848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23-452B-81A1-4B9496C19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652032"/>
        <c:axId val="1000645192"/>
      </c:barChart>
      <c:catAx>
        <c:axId val="1000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645192"/>
        <c:crosses val="autoZero"/>
        <c:auto val="1"/>
        <c:lblAlgn val="ctr"/>
        <c:lblOffset val="100"/>
        <c:noMultiLvlLbl val="0"/>
      </c:catAx>
      <c:valAx>
        <c:axId val="10006451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0006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Histogramme de</a:t>
            </a:r>
            <a:r>
              <a:rPr lang="en-US" baseline="0"/>
              <a:t> nombre defaut/ quantité produit depuis 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'Depuis 2018'!$B$62</c:f>
              <c:strCache>
                <c:ptCount val="1"/>
                <c:pt idx="0">
                  <c:v>Quantité livrer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2018'!$C$1:$K$1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2018'!$C$62:$K$62</c:f>
              <c:numCache>
                <c:formatCode>General</c:formatCode>
                <c:ptCount val="9"/>
                <c:pt idx="0">
                  <c:v>6633</c:v>
                </c:pt>
                <c:pt idx="1">
                  <c:v>7000</c:v>
                </c:pt>
                <c:pt idx="2">
                  <c:v>7910</c:v>
                </c:pt>
                <c:pt idx="3">
                  <c:v>7009</c:v>
                </c:pt>
                <c:pt idx="4">
                  <c:v>8479</c:v>
                </c:pt>
                <c:pt idx="5">
                  <c:v>6949</c:v>
                </c:pt>
                <c:pt idx="6">
                  <c:v>6885</c:v>
                </c:pt>
                <c:pt idx="7">
                  <c:v>8367</c:v>
                </c:pt>
                <c:pt idx="8" formatCode="0">
                  <c:v>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E-4EDE-9202-FFB674EDC761}"/>
            </c:ext>
          </c:extLst>
        </c:ser>
        <c:ser>
          <c:idx val="1"/>
          <c:order val="1"/>
          <c:tx>
            <c:strRef>
              <c:f>'Depuis 2018'!$B$66</c:f>
              <c:strCache>
                <c:ptCount val="1"/>
                <c:pt idx="0">
                  <c:v>Nombre des defauts interne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2018'!$C$1:$K$1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2018'!$C$66:$K$66</c:f>
              <c:numCache>
                <c:formatCode>General</c:formatCode>
                <c:ptCount val="9"/>
                <c:pt idx="0">
                  <c:v>674</c:v>
                </c:pt>
                <c:pt idx="1">
                  <c:v>633</c:v>
                </c:pt>
                <c:pt idx="2">
                  <c:v>1123</c:v>
                </c:pt>
                <c:pt idx="3">
                  <c:v>2535</c:v>
                </c:pt>
                <c:pt idx="4">
                  <c:v>2358</c:v>
                </c:pt>
                <c:pt idx="5">
                  <c:v>3500</c:v>
                </c:pt>
                <c:pt idx="6">
                  <c:v>2963</c:v>
                </c:pt>
                <c:pt idx="7">
                  <c:v>1706</c:v>
                </c:pt>
                <c:pt idx="8" formatCode="0">
                  <c:v>1936.5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E-4EDE-9202-FFB674EDC7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9110152"/>
        <c:axId val="919104392"/>
      </c:barChart>
      <c:catAx>
        <c:axId val="91911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04392"/>
        <c:crosses val="autoZero"/>
        <c:auto val="1"/>
        <c:lblAlgn val="ctr"/>
        <c:lblOffset val="100"/>
        <c:noMultiLvlLbl val="0"/>
      </c:catAx>
      <c:valAx>
        <c:axId val="919104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911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Histogramme de taux d'erreur interne depuis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'Depuis 2018'!$B$67</c:f>
              <c:strCache>
                <c:ptCount val="1"/>
                <c:pt idx="0">
                  <c:v>Taux d'erreur interne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E3-481F-810C-A5EA5F751050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E3-481F-810C-A5EA5F751050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E3-481F-810C-A5EA5F751050}"/>
              </c:ext>
            </c:extLst>
          </c:dPt>
          <c:dLbls>
            <c:dLbl>
              <c:idx val="8"/>
              <c:layout>
                <c:manualLayout>
                  <c:x val="-7.012345679012346E-3"/>
                  <c:y val="-6.018518518518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E3-481F-810C-A5EA5F7510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2018'!$C$1:$K$1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2018'!$C$67:$K$67</c:f>
              <c:numCache>
                <c:formatCode>0.00%</c:formatCode>
                <c:ptCount val="9"/>
                <c:pt idx="0">
                  <c:v>0.10161314638926579</c:v>
                </c:pt>
                <c:pt idx="1">
                  <c:v>9.0428571428571428E-2</c:v>
                </c:pt>
                <c:pt idx="2">
                  <c:v>0.14197218710493048</c:v>
                </c:pt>
                <c:pt idx="3">
                  <c:v>0.36167784277357684</c:v>
                </c:pt>
                <c:pt idx="4">
                  <c:v>0.27809883240948224</c:v>
                </c:pt>
                <c:pt idx="5">
                  <c:v>0.50366959274715783</c:v>
                </c:pt>
                <c:pt idx="6">
                  <c:v>0.43035584604212057</c:v>
                </c:pt>
                <c:pt idx="7">
                  <c:v>0.20389625911318274</c:v>
                </c:pt>
                <c:pt idx="8">
                  <c:v>0.26154781199351701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3-481F-810C-A5EA5F7510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9110152"/>
        <c:axId val="919104392"/>
      </c:barChart>
      <c:lineChart>
        <c:grouping val="standard"/>
        <c:varyColors val="0"/>
        <c:ser>
          <c:idx val="3"/>
          <c:order val="1"/>
          <c:tx>
            <c:strRef>
              <c:f>'Depuis 2018'!$B$68</c:f>
              <c:strCache>
                <c:ptCount val="1"/>
                <c:pt idx="0">
                  <c:v>Target d'erreur interne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666666666666669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E3-481F-810C-A5EA5F7510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2018'!$C$1:$K$1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2018'!$C$68:$K$68</c:f>
              <c:numCache>
                <c:formatCode>0%</c:formatCode>
                <c:ptCount val="9"/>
                <c:pt idx="0">
                  <c:v>0.28999999999999998</c:v>
                </c:pt>
                <c:pt idx="1">
                  <c:v>0.28999999999999998</c:v>
                </c:pt>
                <c:pt idx="2">
                  <c:v>0.28999999999999998</c:v>
                </c:pt>
                <c:pt idx="3">
                  <c:v>0.28999999999999998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0.28999999999999998</c:v>
                </c:pt>
                <c:pt idx="8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E3-481F-810C-A5EA5F7510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9110152"/>
        <c:axId val="919104392"/>
      </c:lineChart>
      <c:catAx>
        <c:axId val="91911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04392"/>
        <c:crosses val="autoZero"/>
        <c:auto val="1"/>
        <c:lblAlgn val="ctr"/>
        <c:lblOffset val="100"/>
        <c:noMultiLvlLbl val="0"/>
      </c:catAx>
      <c:valAx>
        <c:axId val="919104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1911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Histogramme de taux d'erreur externe depuis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'Depuis 2018'!$B$64</c:f>
              <c:strCache>
                <c:ptCount val="1"/>
                <c:pt idx="0">
                  <c:v>Taux d'erreur externe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49-46B8-9EFD-71ADBCDC225C}"/>
              </c:ext>
            </c:extLst>
          </c:dPt>
          <c:dLbls>
            <c:dLbl>
              <c:idx val="6"/>
              <c:layout>
                <c:manualLayout>
                  <c:x val="0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49-46B8-9EFD-71ADBCDC22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2018'!$C$1:$K$1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2018'!$C$64:$K$64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6.3211125158027818E-4</c:v>
                </c:pt>
                <c:pt idx="3">
                  <c:v>8.5604223141674991E-4</c:v>
                </c:pt>
                <c:pt idx="4">
                  <c:v>3.7740299563627788E-3</c:v>
                </c:pt>
                <c:pt idx="5">
                  <c:v>1.7268671751331126E-3</c:v>
                </c:pt>
                <c:pt idx="6">
                  <c:v>2.0334059549745823E-3</c:v>
                </c:pt>
                <c:pt idx="7">
                  <c:v>3.5855145213338117E-4</c:v>
                </c:pt>
                <c:pt idx="8">
                  <c:v>1.2155591572123178E-3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49-46B8-9EFD-71ADBCDC22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9110152"/>
        <c:axId val="919104392"/>
      </c:barChart>
      <c:lineChart>
        <c:grouping val="standard"/>
        <c:varyColors val="0"/>
        <c:ser>
          <c:idx val="3"/>
          <c:order val="1"/>
          <c:tx>
            <c:strRef>
              <c:f>'Depuis 2018'!$B$65</c:f>
              <c:strCache>
                <c:ptCount val="1"/>
                <c:pt idx="0">
                  <c:v>Target d'erreurexterne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49-46B8-9EFD-71ADBCDC22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2018'!$C$1:$K$1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2018'!$C$65:$K$65</c:f>
              <c:numCache>
                <c:formatCode>0.00%</c:formatCode>
                <c:ptCount val="9"/>
                <c:pt idx="0">
                  <c:v>2.5000000000000001E-3</c:v>
                </c:pt>
                <c:pt idx="1">
                  <c:v>2.5000000000000001E-3</c:v>
                </c:pt>
                <c:pt idx="2">
                  <c:v>2.5000000000000001E-3</c:v>
                </c:pt>
                <c:pt idx="3">
                  <c:v>2.5000000000000001E-3</c:v>
                </c:pt>
                <c:pt idx="4">
                  <c:v>2.5000000000000001E-3</c:v>
                </c:pt>
                <c:pt idx="5">
                  <c:v>2.5000000000000001E-3</c:v>
                </c:pt>
                <c:pt idx="6">
                  <c:v>2.5000000000000001E-3</c:v>
                </c:pt>
                <c:pt idx="7">
                  <c:v>2.5000000000000001E-3</c:v>
                </c:pt>
                <c:pt idx="8">
                  <c:v>2.5000000000000001E-3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549-46B8-9EFD-71ADBCDC22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9110152"/>
        <c:axId val="919104392"/>
      </c:lineChart>
      <c:catAx>
        <c:axId val="91911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04392"/>
        <c:crosses val="autoZero"/>
        <c:auto val="1"/>
        <c:lblAlgn val="ctr"/>
        <c:lblOffset val="100"/>
        <c:noMultiLvlLbl val="0"/>
      </c:catAx>
      <c:valAx>
        <c:axId val="919104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1911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Histogramme d'évolution de NQC depuis 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'Depuis 2018'!$S$52</c:f>
              <c:strCache>
                <c:ptCount val="1"/>
                <c:pt idx="0">
                  <c:v>% NQC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184-4E00-A36C-1942425A3F14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84-4E00-A36C-1942425A3F1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184-4E00-A36C-1942425A3F14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84-4E00-A36C-1942425A3F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2018'!$T$1:$AB$1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2018'!$T$52:$AB$52</c:f>
              <c:numCache>
                <c:formatCode>0.00%</c:formatCode>
                <c:ptCount val="9"/>
                <c:pt idx="0">
                  <c:v>1.175E-3</c:v>
                </c:pt>
                <c:pt idx="1">
                  <c:v>3.1333333333333335E-3</c:v>
                </c:pt>
                <c:pt idx="2">
                  <c:v>7.8166666666666662E-3</c:v>
                </c:pt>
                <c:pt idx="3">
                  <c:v>1.2283333333333332E-2</c:v>
                </c:pt>
                <c:pt idx="4">
                  <c:v>9.6916666666666661E-3</c:v>
                </c:pt>
                <c:pt idx="5">
                  <c:v>5.1583333333333333E-3</c:v>
                </c:pt>
                <c:pt idx="6">
                  <c:v>5.3083333333333342E-3</c:v>
                </c:pt>
                <c:pt idx="7">
                  <c:v>2.1583333333333333E-3</c:v>
                </c:pt>
                <c:pt idx="8">
                  <c:v>5.8867559523809523E-3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84-4E00-A36C-1942425A3F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9110152"/>
        <c:axId val="919104392"/>
      </c:barChart>
      <c:lineChart>
        <c:grouping val="standard"/>
        <c:varyColors val="0"/>
        <c:ser>
          <c:idx val="3"/>
          <c:order val="1"/>
          <c:tx>
            <c:strRef>
              <c:f>'Depuis 2018'!$S$53</c:f>
              <c:strCache>
                <c:ptCount val="1"/>
                <c:pt idx="0">
                  <c:v>%NQC target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322-4444-BF05-0236987082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2018'!$T$1:$AB$1</c:f>
              <c:strCach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</c:strCache>
            </c:strRef>
          </c:cat>
          <c:val>
            <c:numRef>
              <c:f>'Depuis 2018'!$T$53:$AB$53</c:f>
              <c:numCache>
                <c:formatCode>0.00%</c:formatCode>
                <c:ptCount val="9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84-4E00-A36C-1942425A3F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9110152"/>
        <c:axId val="919104392"/>
      </c:lineChart>
      <c:catAx>
        <c:axId val="91911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04392"/>
        <c:crosses val="autoZero"/>
        <c:auto val="1"/>
        <c:lblAlgn val="ctr"/>
        <c:lblOffset val="100"/>
        <c:noMultiLvlLbl val="0"/>
      </c:catAx>
      <c:valAx>
        <c:axId val="9191043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1911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Histogramme de NQC en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'Depuis 2018'!$AF$5</c:f>
              <c:strCache>
                <c:ptCount val="1"/>
                <c:pt idx="0">
                  <c:v>NQ Cost %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2018'!$AG$3:$AR$3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Septembre</c:v>
                </c:pt>
                <c:pt idx="11">
                  <c:v>Décembre</c:v>
                </c:pt>
              </c:strCache>
            </c:strRef>
          </c:cat>
          <c:val>
            <c:numRef>
              <c:f>'Depuis 2018'!$AG$5:$AR$5</c:f>
              <c:numCache>
                <c:formatCode>0.00%</c:formatCode>
                <c:ptCount val="12"/>
                <c:pt idx="0">
                  <c:v>2.3702775001299969E-3</c:v>
                </c:pt>
                <c:pt idx="1">
                  <c:v>1.4759275928633493E-3</c:v>
                </c:pt>
                <c:pt idx="2">
                  <c:v>4.1499608372133501E-3</c:v>
                </c:pt>
                <c:pt idx="3">
                  <c:v>2.6241732877624398E-3</c:v>
                </c:pt>
                <c:pt idx="4">
                  <c:v>2.2415397976172768E-3</c:v>
                </c:pt>
                <c:pt idx="5">
                  <c:v>1.61913933750824E-3</c:v>
                </c:pt>
                <c:pt idx="6">
                  <c:v>1.7058693913104164E-3</c:v>
                </c:pt>
                <c:pt idx="7">
                  <c:v>1.2588919123448243E-3</c:v>
                </c:pt>
                <c:pt idx="8">
                  <c:v>1.4779337095960816E-3</c:v>
                </c:pt>
                <c:pt idx="9">
                  <c:v>1.9075408140898425E-3</c:v>
                </c:pt>
                <c:pt idx="10">
                  <c:v>1.4779337095960816E-3</c:v>
                </c:pt>
                <c:pt idx="11">
                  <c:v>2.6370334397877626E-3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7-462D-A5DE-AFD884F857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1096752"/>
        <c:axId val="451098192"/>
      </c:barChart>
      <c:lineChart>
        <c:grouping val="standard"/>
        <c:varyColors val="0"/>
        <c:ser>
          <c:idx val="0"/>
          <c:order val="0"/>
          <c:tx>
            <c:strRef>
              <c:f>'Depuis 2018'!$AF$4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8027079303675046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569954867827208E-2"/>
                      <c:h val="7.40048118985126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9F7-462D-A5DE-AFD884F8573F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F7-462D-A5DE-AFD884F857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2018'!$AG$3:$AR$3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Septembre</c:v>
                </c:pt>
                <c:pt idx="11">
                  <c:v>Décembre</c:v>
                </c:pt>
              </c:strCache>
            </c:strRef>
          </c:cat>
          <c:val>
            <c:numRef>
              <c:f>'Depuis 2018'!$AG$4:$AR$4</c:f>
              <c:numCache>
                <c:formatCode>0.00%</c:formatCode>
                <c:ptCount val="1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7-462D-A5DE-AFD884F857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1096752"/>
        <c:axId val="451098192"/>
      </c:lineChart>
      <c:catAx>
        <c:axId val="45109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98192"/>
        <c:crosses val="autoZero"/>
        <c:auto val="1"/>
        <c:lblAlgn val="ctr"/>
        <c:lblOffset val="100"/>
        <c:noMultiLvlLbl val="0"/>
      </c:catAx>
      <c:valAx>
        <c:axId val="45109819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5109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'Depuis 2018'!$S$50</c:f>
              <c:strCache>
                <c:ptCount val="1"/>
                <c:pt idx="0">
                  <c:v>Déchet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2018'!$T$1:$AC$1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  <c:pt idx="9">
                  <c:v>2026</c:v>
                </c:pt>
              </c:strCache>
            </c:strRef>
          </c:cat>
          <c:val>
            <c:numRef>
              <c:f>'Depuis 2018'!$T$50:$AC$50</c:f>
              <c:numCache>
                <c:formatCode>#,##0\ "€"</c:formatCode>
                <c:ptCount val="10"/>
                <c:pt idx="0">
                  <c:v>420.96000000000004</c:v>
                </c:pt>
                <c:pt idx="1">
                  <c:v>4624.2999999999993</c:v>
                </c:pt>
                <c:pt idx="2">
                  <c:v>20416.249999999996</c:v>
                </c:pt>
                <c:pt idx="3">
                  <c:v>20213.519999999997</c:v>
                </c:pt>
                <c:pt idx="4">
                  <c:v>23618</c:v>
                </c:pt>
                <c:pt idx="5">
                  <c:v>5812.51</c:v>
                </c:pt>
                <c:pt idx="6">
                  <c:v>4446.34</c:v>
                </c:pt>
                <c:pt idx="7">
                  <c:v>3797.92</c:v>
                </c:pt>
                <c:pt idx="8">
                  <c:v>10418.725</c:v>
                </c:pt>
                <c:pt idx="9">
                  <c:v>491.95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9-4809-9E1C-D31FDBC688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729456"/>
        <c:axId val="1013738456"/>
      </c:barChart>
      <c:catAx>
        <c:axId val="10137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738456"/>
        <c:crosses val="autoZero"/>
        <c:auto val="1"/>
        <c:lblAlgn val="ctr"/>
        <c:lblOffset val="100"/>
        <c:noMultiLvlLbl val="0"/>
      </c:catAx>
      <c:valAx>
        <c:axId val="1013738456"/>
        <c:scaling>
          <c:orientation val="minMax"/>
        </c:scaling>
        <c:delete val="1"/>
        <c:axPos val="l"/>
        <c:numFmt formatCode="#,##0\ &quot;€&quot;" sourceLinked="1"/>
        <c:majorTickMark val="none"/>
        <c:minorTickMark val="none"/>
        <c:tickLblPos val="nextTo"/>
        <c:crossAx val="10137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'Depuis 2018'!$S$51</c:f>
              <c:strCache>
                <c:ptCount val="1"/>
                <c:pt idx="0">
                  <c:v>PCR/PRL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'Depuis 2018'!$T$1:$AC$1</c:f>
              <c:strCach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Valeur moyenne de la periode 2018--2025</c:v>
                </c:pt>
                <c:pt idx="9">
                  <c:v>2026</c:v>
                </c:pt>
              </c:strCache>
            </c:strRef>
          </c:cat>
          <c:val>
            <c:numRef>
              <c:f>'Depuis 2018'!$T$51:$AC$51</c:f>
              <c:numCache>
                <c:formatCode>0.00</c:formatCode>
                <c:ptCount val="10"/>
                <c:pt idx="0">
                  <c:v>0.38522751778845515</c:v>
                </c:pt>
                <c:pt idx="1">
                  <c:v>4.2317740652535933</c:v>
                </c:pt>
                <c:pt idx="2">
                  <c:v>15.159672550783467</c:v>
                </c:pt>
                <c:pt idx="3">
                  <c:v>12.220833333333333</c:v>
                </c:pt>
                <c:pt idx="4">
                  <c:v>6.982499999999999</c:v>
                </c:pt>
                <c:pt idx="5">
                  <c:v>8.7433333333333341</c:v>
                </c:pt>
                <c:pt idx="6">
                  <c:v>9.4991666666666674</c:v>
                </c:pt>
                <c:pt idx="7">
                  <c:v>6.1691666666666656</c:v>
                </c:pt>
                <c:pt idx="8">
                  <c:v>7.9239592667281897</c:v>
                </c:pt>
                <c:pt idx="9" formatCode="#,##0\ &quot;€&quot;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E-4E72-A8DD-B089CDBE59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748536"/>
        <c:axId val="1013739176"/>
      </c:barChart>
      <c:catAx>
        <c:axId val="101374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739176"/>
        <c:crosses val="autoZero"/>
        <c:auto val="1"/>
        <c:lblAlgn val="ctr"/>
        <c:lblOffset val="100"/>
        <c:noMultiLvlLbl val="0"/>
      </c:catAx>
      <c:valAx>
        <c:axId val="101373917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1374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18" Type="http://schemas.openxmlformats.org/officeDocument/2006/relationships/chart" Target="../charts/chart23.xml"/><Relationship Id="rId26" Type="http://schemas.openxmlformats.org/officeDocument/2006/relationships/chart" Target="../charts/chart31.xml"/><Relationship Id="rId3" Type="http://schemas.openxmlformats.org/officeDocument/2006/relationships/chart" Target="../charts/chart8.xml"/><Relationship Id="rId21" Type="http://schemas.openxmlformats.org/officeDocument/2006/relationships/chart" Target="../charts/chart26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17" Type="http://schemas.openxmlformats.org/officeDocument/2006/relationships/chart" Target="../charts/chart22.xml"/><Relationship Id="rId25" Type="http://schemas.openxmlformats.org/officeDocument/2006/relationships/chart" Target="../charts/chart30.xml"/><Relationship Id="rId2" Type="http://schemas.openxmlformats.org/officeDocument/2006/relationships/chart" Target="../charts/chart7.xml"/><Relationship Id="rId16" Type="http://schemas.openxmlformats.org/officeDocument/2006/relationships/chart" Target="../charts/chart21.xml"/><Relationship Id="rId20" Type="http://schemas.openxmlformats.org/officeDocument/2006/relationships/chart" Target="../charts/chart25.xml"/><Relationship Id="rId29" Type="http://schemas.openxmlformats.org/officeDocument/2006/relationships/chart" Target="../charts/chart34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24" Type="http://schemas.openxmlformats.org/officeDocument/2006/relationships/chart" Target="../charts/chart29.xml"/><Relationship Id="rId5" Type="http://schemas.openxmlformats.org/officeDocument/2006/relationships/chart" Target="../charts/chart10.xml"/><Relationship Id="rId15" Type="http://schemas.openxmlformats.org/officeDocument/2006/relationships/chart" Target="../charts/chart20.xml"/><Relationship Id="rId23" Type="http://schemas.openxmlformats.org/officeDocument/2006/relationships/chart" Target="../charts/chart28.xml"/><Relationship Id="rId28" Type="http://schemas.openxmlformats.org/officeDocument/2006/relationships/chart" Target="../charts/chart33.xml"/><Relationship Id="rId10" Type="http://schemas.openxmlformats.org/officeDocument/2006/relationships/chart" Target="../charts/chart15.xml"/><Relationship Id="rId19" Type="http://schemas.openxmlformats.org/officeDocument/2006/relationships/chart" Target="../charts/chart24.xml"/><Relationship Id="rId31" Type="http://schemas.openxmlformats.org/officeDocument/2006/relationships/chart" Target="../charts/chart36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Relationship Id="rId22" Type="http://schemas.openxmlformats.org/officeDocument/2006/relationships/chart" Target="../charts/chart27.xml"/><Relationship Id="rId27" Type="http://schemas.openxmlformats.org/officeDocument/2006/relationships/chart" Target="../charts/chart32.xml"/><Relationship Id="rId30" Type="http://schemas.openxmlformats.org/officeDocument/2006/relationships/chart" Target="../charts/chart3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33618</xdr:colOff>
      <xdr:row>9</xdr:row>
      <xdr:rowOff>61912</xdr:rowOff>
    </xdr:from>
    <xdr:to>
      <xdr:col>19</xdr:col>
      <xdr:colOff>112059</xdr:colOff>
      <xdr:row>27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BEC96CA-47A4-EB69-626C-9262C968C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33618</xdr:colOff>
      <xdr:row>27</xdr:row>
      <xdr:rowOff>171450</xdr:rowOff>
    </xdr:from>
    <xdr:to>
      <xdr:col>19</xdr:col>
      <xdr:colOff>112059</xdr:colOff>
      <xdr:row>45</xdr:row>
      <xdr:rowOff>128588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63374ED-4753-4724-9AF9-DA0F98C8E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44823</xdr:colOff>
      <xdr:row>47</xdr:row>
      <xdr:rowOff>123825</xdr:rowOff>
    </xdr:from>
    <xdr:to>
      <xdr:col>19</xdr:col>
      <xdr:colOff>56029</xdr:colOff>
      <xdr:row>65</xdr:row>
      <xdr:rowOff>80963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3A5E04E-3296-4C50-BCD3-946228642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67</xdr:row>
      <xdr:rowOff>0</xdr:rowOff>
    </xdr:from>
    <xdr:to>
      <xdr:col>19</xdr:col>
      <xdr:colOff>19050</xdr:colOff>
      <xdr:row>84</xdr:row>
      <xdr:rowOff>147638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CB746DB-A50F-4298-BB52-BC5B716E0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19</xdr:col>
      <xdr:colOff>19050</xdr:colOff>
      <xdr:row>103</xdr:row>
      <xdr:rowOff>147638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EA1FB45-B9E8-4750-BBF8-08F8E95F9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43275</xdr:colOff>
      <xdr:row>12</xdr:row>
      <xdr:rowOff>104073</xdr:rowOff>
    </xdr:from>
    <xdr:to>
      <xdr:col>20</xdr:col>
      <xdr:colOff>207596</xdr:colOff>
      <xdr:row>28</xdr:row>
      <xdr:rowOff>166688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4F1F889-61C7-DD0F-42E3-13E9E2265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85481</xdr:colOff>
      <xdr:row>12</xdr:row>
      <xdr:rowOff>138607</xdr:rowOff>
    </xdr:from>
    <xdr:to>
      <xdr:col>17</xdr:col>
      <xdr:colOff>1593247</xdr:colOff>
      <xdr:row>28</xdr:row>
      <xdr:rowOff>122116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C83C44CA-5250-7745-F078-328798B39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80</xdr:row>
      <xdr:rowOff>51545</xdr:rowOff>
    </xdr:from>
    <xdr:to>
      <xdr:col>3</xdr:col>
      <xdr:colOff>1857375</xdr:colOff>
      <xdr:row>95</xdr:row>
      <xdr:rowOff>162484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33E18FC0-3304-4C9A-7CF6-43EC60F56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988918</xdr:colOff>
      <xdr:row>19</xdr:row>
      <xdr:rowOff>118081</xdr:rowOff>
    </xdr:from>
    <xdr:to>
      <xdr:col>30</xdr:col>
      <xdr:colOff>0</xdr:colOff>
      <xdr:row>37</xdr:row>
      <xdr:rowOff>27314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2BC8917B-2B3F-0771-370D-816D8C364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509866</xdr:colOff>
      <xdr:row>82</xdr:row>
      <xdr:rowOff>34737</xdr:rowOff>
    </xdr:from>
    <xdr:to>
      <xdr:col>22</xdr:col>
      <xdr:colOff>1176618</xdr:colOff>
      <xdr:row>106</xdr:row>
      <xdr:rowOff>156883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35D8F57-B28B-9270-5B22-4DF5A776E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1899395</xdr:colOff>
      <xdr:row>93</xdr:row>
      <xdr:rowOff>158002</xdr:rowOff>
    </xdr:from>
    <xdr:to>
      <xdr:col>25</xdr:col>
      <xdr:colOff>415193</xdr:colOff>
      <xdr:row>110</xdr:row>
      <xdr:rowOff>11206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45CF904-2872-870A-C952-33BFB513D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2101101</xdr:colOff>
      <xdr:row>114</xdr:row>
      <xdr:rowOff>79562</xdr:rowOff>
    </xdr:from>
    <xdr:to>
      <xdr:col>28</xdr:col>
      <xdr:colOff>78441</xdr:colOff>
      <xdr:row>128</xdr:row>
      <xdr:rowOff>155762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EFDEF5A-DF13-05D1-E8DE-F54C30A80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625076</xdr:colOff>
      <xdr:row>49</xdr:row>
      <xdr:rowOff>3573</xdr:rowOff>
    </xdr:from>
    <xdr:to>
      <xdr:col>4</xdr:col>
      <xdr:colOff>2059779</xdr:colOff>
      <xdr:row>61</xdr:row>
      <xdr:rowOff>142875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71A07D0-5D37-46DC-85E1-26CF93303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99</xdr:row>
      <xdr:rowOff>107156</xdr:rowOff>
    </xdr:from>
    <xdr:to>
      <xdr:col>3</xdr:col>
      <xdr:colOff>1774031</xdr:colOff>
      <xdr:row>116</xdr:row>
      <xdr:rowOff>11906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70761C79-ED5C-B8D9-A341-8596FB164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</xdr:colOff>
      <xdr:row>120</xdr:row>
      <xdr:rowOff>170258</xdr:rowOff>
    </xdr:from>
    <xdr:to>
      <xdr:col>3</xdr:col>
      <xdr:colOff>1809750</xdr:colOff>
      <xdr:row>133</xdr:row>
      <xdr:rowOff>95250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7765FE0-D5D2-0AAB-326F-FA78E899B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196451</xdr:colOff>
      <xdr:row>148</xdr:row>
      <xdr:rowOff>75009</xdr:rowOff>
    </xdr:from>
    <xdr:to>
      <xdr:col>3</xdr:col>
      <xdr:colOff>1738312</xdr:colOff>
      <xdr:row>173</xdr:row>
      <xdr:rowOff>23813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6886CFA3-CADF-228F-DE18-18C51BAF7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239650</xdr:colOff>
      <xdr:row>33</xdr:row>
      <xdr:rowOff>98515</xdr:rowOff>
    </xdr:from>
    <xdr:to>
      <xdr:col>87</xdr:col>
      <xdr:colOff>358713</xdr:colOff>
      <xdr:row>59</xdr:row>
      <xdr:rowOff>48539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1FCBEA00-559F-A91E-8A0C-BCA869866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37</xdr:col>
      <xdr:colOff>214312</xdr:colOff>
      <xdr:row>59</xdr:row>
      <xdr:rowOff>109904</xdr:rowOff>
    </xdr:from>
    <xdr:to>
      <xdr:col>87</xdr:col>
      <xdr:colOff>333375</xdr:colOff>
      <xdr:row>75</xdr:row>
      <xdr:rowOff>127395</xdr:rowOff>
    </xdr:to>
    <xdr:graphicFrame macro="">
      <xdr:nvGraphicFramePr>
        <xdr:cNvPr id="25" name="Graphique 24">
          <a:extLst>
            <a:ext uri="{FF2B5EF4-FFF2-40B4-BE49-F238E27FC236}">
              <a16:creationId xmlns:a16="http://schemas.microsoft.com/office/drawing/2014/main" id="{DAA6F009-C03B-453B-8F1B-D356DB0E2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87</xdr:col>
      <xdr:colOff>675605</xdr:colOff>
      <xdr:row>76</xdr:row>
      <xdr:rowOff>143486</xdr:rowOff>
    </xdr:from>
    <xdr:to>
      <xdr:col>369</xdr:col>
      <xdr:colOff>732693</xdr:colOff>
      <xdr:row>100</xdr:row>
      <xdr:rowOff>104500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1804084B-2F2C-4C90-9AEF-499D1AFFB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190501</xdr:colOff>
      <xdr:row>76</xdr:row>
      <xdr:rowOff>142876</xdr:rowOff>
    </xdr:from>
    <xdr:to>
      <xdr:col>87</xdr:col>
      <xdr:colOff>309564</xdr:colOff>
      <xdr:row>100</xdr:row>
      <xdr:rowOff>91679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049B946-3A7B-48EC-B377-8968372A2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87</xdr:col>
      <xdr:colOff>561731</xdr:colOff>
      <xdr:row>59</xdr:row>
      <xdr:rowOff>122115</xdr:rowOff>
    </xdr:from>
    <xdr:to>
      <xdr:col>369</xdr:col>
      <xdr:colOff>683846</xdr:colOff>
      <xdr:row>75</xdr:row>
      <xdr:rowOff>119762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B37D646D-C8E0-4209-83D6-F30029430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87</xdr:col>
      <xdr:colOff>647211</xdr:colOff>
      <xdr:row>101</xdr:row>
      <xdr:rowOff>134328</xdr:rowOff>
    </xdr:from>
    <xdr:to>
      <xdr:col>370</xdr:col>
      <xdr:colOff>12210</xdr:colOff>
      <xdr:row>127</xdr:row>
      <xdr:rowOff>97694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B278E2D3-4D1B-4070-9E9D-FFF1E59B7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0</xdr:colOff>
      <xdr:row>102</xdr:row>
      <xdr:rowOff>0</xdr:rowOff>
    </xdr:from>
    <xdr:to>
      <xdr:col>87</xdr:col>
      <xdr:colOff>119063</xdr:colOff>
      <xdr:row>127</xdr:row>
      <xdr:rowOff>131977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9D917B4F-E984-4859-8D97-FB392F12A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15874</xdr:colOff>
      <xdr:row>224</xdr:row>
      <xdr:rowOff>85481</xdr:rowOff>
    </xdr:from>
    <xdr:to>
      <xdr:col>5</xdr:col>
      <xdr:colOff>316035</xdr:colOff>
      <xdr:row>236</xdr:row>
      <xdr:rowOff>134327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52DB23C4-9E3B-C864-FA19-2292AC717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89144</xdr:colOff>
      <xdr:row>250</xdr:row>
      <xdr:rowOff>136525</xdr:rowOff>
    </xdr:from>
    <xdr:to>
      <xdr:col>6</xdr:col>
      <xdr:colOff>22714</xdr:colOff>
      <xdr:row>266</xdr:row>
      <xdr:rowOff>12212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651F49B4-88C9-CEFB-212A-5FA4E9122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28085</xdr:colOff>
      <xdr:row>191</xdr:row>
      <xdr:rowOff>160947</xdr:rowOff>
    </xdr:from>
    <xdr:to>
      <xdr:col>3</xdr:col>
      <xdr:colOff>1697403</xdr:colOff>
      <xdr:row>205</xdr:row>
      <xdr:rowOff>168763</xdr:rowOff>
    </xdr:to>
    <xdr:graphicFrame macro="">
      <xdr:nvGraphicFramePr>
        <xdr:cNvPr id="24" name="Graphique 23">
          <a:extLst>
            <a:ext uri="{FF2B5EF4-FFF2-40B4-BE49-F238E27FC236}">
              <a16:creationId xmlns:a16="http://schemas.microsoft.com/office/drawing/2014/main" id="{6A30445A-FD03-21EB-BF3C-52FAF9C11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137987</xdr:colOff>
      <xdr:row>289</xdr:row>
      <xdr:rowOff>112101</xdr:rowOff>
    </xdr:from>
    <xdr:to>
      <xdr:col>5</xdr:col>
      <xdr:colOff>1795095</xdr:colOff>
      <xdr:row>303</xdr:row>
      <xdr:rowOff>119916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6A007387-80D1-D1FE-D089-746569D1C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308950</xdr:colOff>
      <xdr:row>306</xdr:row>
      <xdr:rowOff>136525</xdr:rowOff>
    </xdr:from>
    <xdr:to>
      <xdr:col>5</xdr:col>
      <xdr:colOff>1746250</xdr:colOff>
      <xdr:row>320</xdr:row>
      <xdr:rowOff>144340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D4DA23AC-867D-7843-8439-CD26220C6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15</xdr:col>
      <xdr:colOff>378558</xdr:colOff>
      <xdr:row>116</xdr:row>
      <xdr:rowOff>61058</xdr:rowOff>
    </xdr:from>
    <xdr:to>
      <xdr:col>22</xdr:col>
      <xdr:colOff>1563077</xdr:colOff>
      <xdr:row>128</xdr:row>
      <xdr:rowOff>12210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B4B7335A-264B-F812-D585-1BD4BAC5D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15</xdr:col>
      <xdr:colOff>443277</xdr:colOff>
      <xdr:row>137</xdr:row>
      <xdr:rowOff>14409</xdr:rowOff>
    </xdr:from>
    <xdr:to>
      <xdr:col>22</xdr:col>
      <xdr:colOff>1465384</xdr:colOff>
      <xdr:row>151</xdr:row>
      <xdr:rowOff>22224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070F67EA-45FA-7941-1801-3A4D95D1A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15</xdr:col>
      <xdr:colOff>565394</xdr:colOff>
      <xdr:row>162</xdr:row>
      <xdr:rowOff>38832</xdr:rowOff>
    </xdr:from>
    <xdr:to>
      <xdr:col>22</xdr:col>
      <xdr:colOff>1416538</xdr:colOff>
      <xdr:row>176</xdr:row>
      <xdr:rowOff>46648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50467177-0E03-2728-34F1-20A01555E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15</xdr:col>
      <xdr:colOff>589817</xdr:colOff>
      <xdr:row>186</xdr:row>
      <xdr:rowOff>75467</xdr:rowOff>
    </xdr:from>
    <xdr:to>
      <xdr:col>22</xdr:col>
      <xdr:colOff>1648557</xdr:colOff>
      <xdr:row>200</xdr:row>
      <xdr:rowOff>83283</xdr:rowOff>
    </xdr:to>
    <xdr:graphicFrame macro="">
      <xdr:nvGraphicFramePr>
        <xdr:cNvPr id="33" name="Graphique 32">
          <a:extLst>
            <a:ext uri="{FF2B5EF4-FFF2-40B4-BE49-F238E27FC236}">
              <a16:creationId xmlns:a16="http://schemas.microsoft.com/office/drawing/2014/main" id="{4F241189-D7F6-65FA-DF13-38AF86D91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371</xdr:col>
      <xdr:colOff>158751</xdr:colOff>
      <xdr:row>58</xdr:row>
      <xdr:rowOff>183173</xdr:rowOff>
    </xdr:from>
    <xdr:to>
      <xdr:col>384</xdr:col>
      <xdr:colOff>366346</xdr:colOff>
      <xdr:row>74</xdr:row>
      <xdr:rowOff>180819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39F57989-779E-47A3-899B-370F84C4C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87</xdr:col>
      <xdr:colOff>488463</xdr:colOff>
      <xdr:row>33</xdr:row>
      <xdr:rowOff>97693</xdr:rowOff>
    </xdr:from>
    <xdr:to>
      <xdr:col>368</xdr:col>
      <xdr:colOff>644160</xdr:colOff>
      <xdr:row>59</xdr:row>
      <xdr:rowOff>47717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C51C9E8-2963-4199-BA91-75392E18D6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186836</xdr:colOff>
      <xdr:row>321</xdr:row>
      <xdr:rowOff>148735</xdr:rowOff>
    </xdr:from>
    <xdr:to>
      <xdr:col>5</xdr:col>
      <xdr:colOff>1770673</xdr:colOff>
      <xdr:row>337</xdr:row>
      <xdr:rowOff>170961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24BFEF5C-8742-12F3-D494-F04657F38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371</xdr:col>
      <xdr:colOff>183173</xdr:colOff>
      <xdr:row>33</xdr:row>
      <xdr:rowOff>48844</xdr:rowOff>
    </xdr:from>
    <xdr:to>
      <xdr:col>384</xdr:col>
      <xdr:colOff>341922</xdr:colOff>
      <xdr:row>58</xdr:row>
      <xdr:rowOff>73269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00AC9BF-6509-4C63-B79D-C6DFA35A1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68</xdr:row>
      <xdr:rowOff>147637</xdr:rowOff>
    </xdr:from>
    <xdr:to>
      <xdr:col>12</xdr:col>
      <xdr:colOff>647700</xdr:colOff>
      <xdr:row>83</xdr:row>
      <xdr:rowOff>33337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7A3B0F8-C046-0D41-5DB2-EFEFBE0B3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85</xdr:row>
      <xdr:rowOff>0</xdr:rowOff>
    </xdr:from>
    <xdr:to>
      <xdr:col>13</xdr:col>
      <xdr:colOff>85725</xdr:colOff>
      <xdr:row>99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9E71F3F-3994-423E-8F33-5C3A7C402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13</xdr:col>
      <xdr:colOff>85725</xdr:colOff>
      <xdr:row>116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744B6C5-24FE-4488-8F0E-C7525389D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19049</xdr:colOff>
      <xdr:row>13</xdr:row>
      <xdr:rowOff>361950</xdr:rowOff>
    </xdr:from>
    <xdr:to>
      <xdr:col>43</xdr:col>
      <xdr:colOff>714374</xdr:colOff>
      <xdr:row>20</xdr:row>
      <xdr:rowOff>371475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2AD4DD1-1078-4656-8CE5-EFDFF0864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609600</xdr:colOff>
      <xdr:row>5</xdr:row>
      <xdr:rowOff>328612</xdr:rowOff>
    </xdr:from>
    <xdr:to>
      <xdr:col>43</xdr:col>
      <xdr:colOff>695325</xdr:colOff>
      <xdr:row>13</xdr:row>
      <xdr:rowOff>138112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240EE423-C061-0201-E203-5B31C855B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666749</xdr:colOff>
      <xdr:row>22</xdr:row>
      <xdr:rowOff>176212</xdr:rowOff>
    </xdr:from>
    <xdr:to>
      <xdr:col>43</xdr:col>
      <xdr:colOff>657225</xdr:colOff>
      <xdr:row>30</xdr:row>
      <xdr:rowOff>266700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365C1169-AAAD-6C36-D9FC-923EB9204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666749</xdr:colOff>
      <xdr:row>31</xdr:row>
      <xdr:rowOff>71437</xdr:rowOff>
    </xdr:from>
    <xdr:to>
      <xdr:col>43</xdr:col>
      <xdr:colOff>647700</xdr:colOff>
      <xdr:row>43</xdr:row>
      <xdr:rowOff>352425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EAF6D36-AEF2-FAC9-0EAB-095D9AB9F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tti, Wajdi" refreshedDate="46076.32288078704" createdVersion="8" refreshedVersion="8" minRefreshableVersion="3" recordCount="677" xr:uid="{9BFB4F0D-28CE-40FC-A43E-94A125BB568A}">
  <cacheSource type="worksheet">
    <worksheetSource ref="A1:P1048576" sheet="Suivi Journalier des fautes"/>
  </cacheSource>
  <cacheFields count="16">
    <cacheField name="KW" numFmtId="0">
      <sharedItems containsString="0" containsBlank="1" containsNumber="1" containsInteger="1" minValue="2" maxValue="8" count="8">
        <n v="2"/>
        <n v="3"/>
        <n v="4"/>
        <n v="5"/>
        <n v="6"/>
        <n v="7"/>
        <n v="8"/>
        <m/>
      </sharedItems>
    </cacheField>
    <cacheField name="Mois" numFmtId="0">
      <sharedItems containsBlank="1" count="14">
        <s v="Janvier"/>
        <s v="Février"/>
        <m/>
        <s v="Fevrier" u="1"/>
        <s v="Mars" u="1"/>
        <s v="Avril" u="1"/>
        <s v="MAI" u="1"/>
        <s v="Juin" u="1"/>
        <s v="Juillet" u="1"/>
        <s v="Aout" u="1"/>
        <s v="Septembre" u="1"/>
        <s v="Octobre" u="1"/>
        <s v="Novembre" u="1"/>
        <s v="Décembre" u="1"/>
      </sharedItems>
    </cacheField>
    <cacheField name="Date" numFmtId="0">
      <sharedItems containsNonDate="0" containsDate="1" containsString="0" containsBlank="1" minDate="2025-02-01T00:00:00" maxDate="2027-01-01T00:00:00" count="362"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1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m/>
        <d v="2025-02-01T00:00:00" u="1"/>
        <d v="2025-02-04T00:00:00" u="1"/>
        <d v="2025-02-03T00:00:00" u="1"/>
        <d v="2025-02-02T00:00:00" u="1"/>
        <d v="2026-01-24T00:00:00" u="1"/>
        <d v="2026-01-25T00:00:00" u="1"/>
        <d v="2026-01-31T00:00:00" u="1"/>
        <d v="2026-02-07T00:00:00" u="1"/>
        <d v="2026-02-08T00:00:00" u="1"/>
        <d v="2026-02-14T00:00:00" u="1"/>
        <d v="2026-02-15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4-14T00:00:00" u="1"/>
        <d v="2026-04-15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6-06-25T00:00:00" u="1"/>
        <d v="2026-06-26T00:00:00" u="1"/>
        <d v="2026-06-27T00:00:00" u="1"/>
        <d v="2026-06-28T00:00:00" u="1"/>
        <d v="2026-06-29T00:00:00" u="1"/>
        <d v="2026-06-30T00:00:00" u="1"/>
        <d v="2026-07-01T00:00:00" u="1"/>
        <d v="2026-07-02T00:00:00" u="1"/>
        <d v="2026-07-03T00:00:00" u="1"/>
        <d v="2026-07-04T00:00:00" u="1"/>
        <d v="2026-07-05T00:00:00" u="1"/>
        <d v="2026-07-06T00:00:00" u="1"/>
        <d v="2026-07-07T00:00:00" u="1"/>
        <d v="2026-07-08T00:00:00" u="1"/>
        <d v="2026-07-09T00:00:00" u="1"/>
        <d v="2026-07-10T00:00:00" u="1"/>
        <d v="2026-07-11T00:00:00" u="1"/>
        <d v="2026-07-12T00:00:00" u="1"/>
        <d v="2026-07-13T00:00:00" u="1"/>
        <d v="2026-07-14T00:00:00" u="1"/>
        <d v="2026-07-15T00:00:00" u="1"/>
        <d v="2026-07-16T00:00:00" u="1"/>
        <d v="2026-07-17T00:00:00" u="1"/>
        <d v="2026-07-18T00:00:00" u="1"/>
        <d v="2026-07-19T00:00:00" u="1"/>
        <d v="2026-07-20T00:00:00" u="1"/>
        <d v="2026-07-21T00:00:00" u="1"/>
        <d v="2026-07-22T00:00:00" u="1"/>
        <d v="2026-07-23T00:00:00" u="1"/>
        <d v="2026-07-24T00:00:00" u="1"/>
        <d v="2026-07-25T00:00:00" u="1"/>
        <d v="2026-07-26T00:00:00" u="1"/>
        <d v="2026-07-27T00:00:00" u="1"/>
        <d v="2026-07-28T00:00:00" u="1"/>
        <d v="2026-07-29T00:00:00" u="1"/>
        <d v="2026-07-30T00:00:00" u="1"/>
        <d v="2026-07-31T00:00:00" u="1"/>
        <d v="2026-08-01T00:00:00" u="1"/>
        <d v="2026-08-02T00:00:00" u="1"/>
        <d v="2026-08-03T00:00:00" u="1"/>
        <d v="2026-08-04T00:00:00" u="1"/>
        <d v="2026-08-05T00:00:00" u="1"/>
        <d v="2026-08-06T00:00:00" u="1"/>
        <d v="2026-08-07T00:00:00" u="1"/>
        <d v="2026-08-08T00:00:00" u="1"/>
        <d v="2026-08-09T00:00:00" u="1"/>
        <d v="2026-08-10T00:00:00" u="1"/>
        <d v="2026-08-11T00:00:00" u="1"/>
        <d v="2026-08-12T00:00:00" u="1"/>
        <d v="2026-08-13T00:00:00" u="1"/>
        <d v="2026-08-14T00:00:00" u="1"/>
        <d v="2026-08-15T00:00:00" u="1"/>
        <d v="2026-08-16T00:00:00" u="1"/>
        <d v="2026-08-17T00:00:00" u="1"/>
        <d v="2026-08-18T00:00:00" u="1"/>
        <d v="2026-08-19T00:00:00" u="1"/>
        <d v="2026-08-20T00:00:00" u="1"/>
        <d v="2026-08-21T00:00:00" u="1"/>
        <d v="2026-08-22T00:00:00" u="1"/>
        <d v="2026-08-23T00:00:00" u="1"/>
        <d v="2026-08-24T00:00:00" u="1"/>
        <d v="2026-08-25T00:00:00" u="1"/>
        <d v="2026-08-26T00:00:00" u="1"/>
        <d v="2026-08-27T00:00:00" u="1"/>
        <d v="2026-08-28T00:00:00" u="1"/>
        <d v="2026-08-29T00:00:00" u="1"/>
        <d v="2026-08-30T00:00:00" u="1"/>
        <d v="2026-08-31T00:00:00" u="1"/>
        <d v="2026-09-01T00:00:00" u="1"/>
        <d v="2026-09-02T00:00:00" u="1"/>
        <d v="2026-09-03T00:00:00" u="1"/>
        <d v="2026-09-04T00:00:00" u="1"/>
        <d v="2026-09-05T00:00:00" u="1"/>
        <d v="2026-09-06T00:00:00" u="1"/>
        <d v="2026-09-07T00:00:00" u="1"/>
        <d v="2026-09-08T00:00:00" u="1"/>
        <d v="2026-09-09T00:00:00" u="1"/>
        <d v="2026-09-10T00:00:00" u="1"/>
        <d v="2026-09-11T00:00:00" u="1"/>
        <d v="2026-09-12T00:00:00" u="1"/>
        <d v="2026-09-13T00:00:00" u="1"/>
        <d v="2026-09-14T00:00:00" u="1"/>
        <d v="2026-09-15T00:00:00" u="1"/>
        <d v="2026-09-16T00:00:00" u="1"/>
        <d v="2026-09-17T00:00:00" u="1"/>
        <d v="2026-09-18T00:00:00" u="1"/>
        <d v="2026-09-19T00:00:00" u="1"/>
        <d v="2026-09-20T00:00:00" u="1"/>
        <d v="2026-09-21T00:00:00" u="1"/>
        <d v="2026-09-22T00:00:00" u="1"/>
        <d v="2026-09-23T00:00:00" u="1"/>
        <d v="2026-09-24T00:00:00" u="1"/>
        <d v="2026-09-25T00:00:00" u="1"/>
        <d v="2026-09-26T00:00:00" u="1"/>
        <d v="2026-09-27T00:00:00" u="1"/>
        <d v="2026-09-28T00:00:00" u="1"/>
        <d v="2026-09-29T00:00:00" u="1"/>
        <d v="2026-09-30T00:00:00" u="1"/>
        <d v="2026-10-01T00:00:00" u="1"/>
        <d v="2026-10-02T00:00:00" u="1"/>
        <d v="2026-10-03T00:00:00" u="1"/>
        <d v="2026-10-04T00:00:00" u="1"/>
        <d v="2026-10-05T00:00:00" u="1"/>
        <d v="2026-10-06T00:00:00" u="1"/>
        <d v="2026-10-07T00:00:00" u="1"/>
        <d v="2026-10-08T00:00:00" u="1"/>
        <d v="2026-10-09T00:00:00" u="1"/>
        <d v="2026-10-10T00:00:00" u="1"/>
        <d v="2026-10-11T00:00:00" u="1"/>
        <d v="2026-10-12T00:00:00" u="1"/>
        <d v="2026-10-13T00:00:00" u="1"/>
        <d v="2026-10-14T00:00:00" u="1"/>
        <d v="2026-10-15T00:00:00" u="1"/>
        <d v="2026-10-16T00:00:00" u="1"/>
        <d v="2026-10-17T00:00:00" u="1"/>
        <d v="2026-10-18T00:00:00" u="1"/>
        <d v="2026-10-19T00:00:00" u="1"/>
        <d v="2026-10-20T00:00:00" u="1"/>
        <d v="2026-10-21T00:00:00" u="1"/>
        <d v="2026-10-22T00:00:00" u="1"/>
        <d v="2026-10-23T00:00:00" u="1"/>
        <d v="2026-10-24T00:00:00" u="1"/>
        <d v="2026-10-25T00:00:00" u="1"/>
        <d v="2026-10-26T00:00:00" u="1"/>
        <d v="2026-10-27T00:00:00" u="1"/>
        <d v="2026-10-28T00:00:00" u="1"/>
        <d v="2026-10-29T00:00:00" u="1"/>
        <d v="2026-10-30T00:00:00" u="1"/>
        <d v="2026-10-31T00:00:00" u="1"/>
        <d v="2026-11-01T00:00:00" u="1"/>
        <d v="2026-11-02T00:00:00" u="1"/>
        <d v="2026-11-03T00:00:00" u="1"/>
        <d v="2026-11-04T00:00:00" u="1"/>
        <d v="2026-11-05T00:00:00" u="1"/>
        <d v="2026-11-06T00:00:00" u="1"/>
        <d v="2026-11-07T00:00:00" u="1"/>
        <d v="2026-11-08T00:00:00" u="1"/>
        <d v="2026-11-09T00:00:00" u="1"/>
        <d v="2026-11-10T00:00:00" u="1"/>
        <d v="2026-11-11T00:00:00" u="1"/>
        <d v="2026-11-12T00:00:00" u="1"/>
        <d v="2026-11-13T00:00:00" u="1"/>
        <d v="2026-11-14T00:00:00" u="1"/>
        <d v="2026-11-15T00:00:00" u="1"/>
        <d v="2026-11-16T00:00:00" u="1"/>
        <d v="2026-11-17T00:00:00" u="1"/>
        <d v="2026-11-18T00:00:00" u="1"/>
        <d v="2026-11-19T00:00:00" u="1"/>
        <d v="2026-11-20T00:00:00" u="1"/>
        <d v="2026-11-21T00:00:00" u="1"/>
        <d v="2026-11-22T00:00:00" u="1"/>
        <d v="2026-11-23T00:00:00" u="1"/>
        <d v="2026-11-24T00:00:00" u="1"/>
        <d v="2026-11-25T00:00:00" u="1"/>
        <d v="2026-11-26T00:00:00" u="1"/>
        <d v="2026-11-27T00:00:00" u="1"/>
        <d v="2026-11-28T00:00:00" u="1"/>
        <d v="2026-11-29T00:00:00" u="1"/>
        <d v="2026-11-30T00:00:00" u="1"/>
        <d v="2026-12-01T00:00:00" u="1"/>
        <d v="2026-12-02T00:00:00" u="1"/>
        <d v="2026-12-03T00:00:00" u="1"/>
        <d v="2026-12-04T00:00:00" u="1"/>
        <d v="2026-12-05T00:00:00" u="1"/>
        <d v="2026-12-06T00:00:00" u="1"/>
        <d v="2026-12-07T00:00:00" u="1"/>
        <d v="2026-12-08T00:00:00" u="1"/>
        <d v="2026-12-09T00:00:00" u="1"/>
        <d v="2026-12-10T00:00:00" u="1"/>
        <d v="2026-12-11T00:00:00" u="1"/>
        <d v="2026-12-12T00:00:00" u="1"/>
        <d v="2026-12-13T00:00:00" u="1"/>
        <d v="2026-12-14T00:00:00" u="1"/>
        <d v="2026-12-15T00:00:00" u="1"/>
        <d v="2026-12-16T00:00:00" u="1"/>
        <d v="2026-12-17T00:00:00" u="1"/>
        <d v="2026-12-18T00:00:00" u="1"/>
        <d v="2026-12-19T00:00:00" u="1"/>
        <d v="2026-12-20T00:00:00" u="1"/>
        <d v="2026-12-21T00:00:00" u="1"/>
        <d v="2026-12-22T00:00:00" u="1"/>
        <d v="2026-12-23T00:00:00" u="1"/>
        <d v="2026-12-24T00:00:00" u="1"/>
        <d v="2026-12-25T00:00:00" u="1"/>
        <d v="2026-12-26T00:00:00" u="1"/>
        <d v="2026-12-27T00:00:00" u="1"/>
        <d v="2026-12-28T00:00:00" u="1"/>
        <d v="2026-12-29T00:00:00" u="1"/>
        <d v="2026-12-30T00:00:00" u="1"/>
        <d v="2026-12-31T00:00:00" u="1"/>
      </sharedItems>
    </cacheField>
    <cacheField name="detecter par" numFmtId="0">
      <sharedItems containsBlank="1" count="6">
        <s v="CNC"/>
        <s v="Assemblage mécanique"/>
        <s v="contrôle technique"/>
        <m/>
        <s v="Assemblage" u="1"/>
        <s v="Montage" u="1"/>
      </sharedItems>
    </cacheField>
    <cacheField name="Controler par2" numFmtId="0">
      <sharedItems containsBlank="1"/>
    </cacheField>
    <cacheField name="N°Order" numFmtId="0">
      <sharedItems containsBlank="1"/>
    </cacheField>
    <cacheField name="Statu" numFmtId="0">
      <sharedItems containsBlank="1" count="3">
        <s v="Duplication"/>
        <s v="Prototype"/>
        <m/>
      </sharedItems>
    </cacheField>
    <cacheField name="Nombre des piéces controlés" numFmtId="0">
      <sharedItems containsString="0" containsBlank="1" containsNumber="1" containsInteger="1" minValue="1" maxValue="129"/>
    </cacheField>
    <cacheField name="Nombre des défauts" numFmtId="0">
      <sharedItems containsString="0" containsBlank="1" containsNumber="1" containsInteger="1" minValue="0" maxValue="3"/>
    </cacheField>
    <cacheField name="Piéce NIO" numFmtId="0">
      <sharedItems containsBlank="1"/>
    </cacheField>
    <cacheField name="type technique du defaut" numFmtId="0">
      <sharedItems containsBlank="1" count="33">
        <s v="Piéce conforme"/>
        <s v="usinage incorrecte"/>
        <s v="FAO incorrecte"/>
        <s v="CAO incorrecte"/>
        <s v="Pièce rebut"/>
        <s v="Profondeur &quot;Z&quot; non correcte"/>
        <s v="Usinage incomplet"/>
        <s v="contre-partie &quot; Clips/douille&quot; non montable"/>
        <s v="element manquant"/>
        <s v="Erreur continuité "/>
        <s v="Branchement electrique non conforme"/>
        <m/>
        <s v="Piece conforme" u="1"/>
        <s v="cotation non respecter" u="1"/>
        <s v="Poche moins que la tolérance" u="1"/>
        <s v="Piéce endommagé" u="1"/>
        <s v="programme non conforme" u="1"/>
        <s v="Poche plus que la tolérance" u="1"/>
        <s v="Profondeur non conforme" u="1"/>
        <s v="Perçage plus que la tolérance" u="1"/>
        <s v="Problème présence" u="1"/>
        <s v="elemant manquant" u="1"/>
        <s v="Usinage  incomplet" u="1"/>
        <s v="Piece rebut" u="1"/>
        <s v="Mauvaise manipulation des éléments" u="1"/>
        <s v="cahier de charge non respecter" u="1"/>
        <s v="Position initiale non respecter" u="1"/>
        <s v="pas de verification de nomenclature de dessin" u="1"/>
        <s v="Lecture non approfondu du dessin du piece" u="1"/>
        <s v="retouche non effectué" u="1"/>
        <s v="Course non correcte" u="1"/>
        <s v="Pas de coherence entre les inervales de tolerence " u="1"/>
        <s v="Maintient non conforme du piece en-cours d'usinage" u="1"/>
      </sharedItems>
    </cacheField>
    <cacheField name="Description du defaut" numFmtId="0">
      <sharedItems containsBlank="1" containsMixedTypes="1" containsNumber="1" containsInteger="1" minValue="251669" maxValue="202302678" count="84">
        <s v="Piéce conforme"/>
        <s v="Poche moins que la tolérance"/>
        <s v="Manque opération"/>
        <s v="Cote moins que la tolérance "/>
        <s v="Piéce endommagé"/>
        <s v="Profondeur non conforme"/>
        <s v="Etat du surface non conforme"/>
        <s v="Douille serré"/>
        <s v="Pérçage plus que la tolérance"/>
        <s v="programme non conforme "/>
        <s v="Pérçage decalé"/>
        <s v="Poche lamage schtift décalé"/>
        <s v="Piéce non conforme au plan"/>
        <s v="Pérçage moins que la tolérance"/>
        <s v="Face decalé"/>
        <s v="Diametre 1,1 au lieu de 1"/>
        <s v="Mnq modif"/>
        <s v="PRO INCORRECTE"/>
        <s v="Modification non effectué"/>
        <s v="cotation extérieur incorrect"/>
        <s v="Poche plus que la tolérance"/>
        <s v="Piéce manquante"/>
        <s v="Détection Longuette non effecasse"/>
        <s v="Composant perdu"/>
        <s v="composant endommagé"/>
        <s v="FAO incorrecte"/>
        <s v="Erreur continuité "/>
        <s v="Lamage incorecte"/>
        <s v="Cote plus  que la tolérance "/>
        <s v="Etanchéité non fiable"/>
        <s v="Piéce perdue"/>
        <s v="Nbr piéce incorrecte"/>
        <s v="Amélioration"/>
        <s v="Manque Face "/>
        <s v="Manque allésoire"/>
        <s v="PB:Assemblage "/>
        <s v="Clips serré"/>
        <s v="Face inversé "/>
        <s v="Serrage /coincement"/>
        <s v="Problème présence"/>
        <s v="Montage électrique incorrect"/>
        <s v="Manque opération "/>
        <s v="Mal usiner"/>
        <s v="Manque pièce"/>
        <s v="Problème maintien"/>
        <s v="Probléme insertion douille"/>
        <s v="Perçage decalé"/>
        <s v="programme non conforme"/>
        <s v="PB Détrempage"/>
        <s v="Cote fonctionnel non conforme"/>
        <s v="Lamage decalé"/>
        <s v="Pièce endommagée"/>
        <s v="Z fini incorrect"/>
        <s v="Perçage plus que la tolérance"/>
        <s v="Poche non conforme"/>
        <s v="Nbr des pieces incorrecte"/>
        <m/>
        <n v="251764" u="1"/>
        <n v="251765" u="1"/>
        <n v="251766" u="1"/>
        <n v="251767" u="1"/>
        <n v="251768" u="1"/>
        <n v="251669" u="1"/>
        <n v="251670" u="1"/>
        <n v="202302675" u="1"/>
        <n v="202302676" u="1"/>
        <n v="202302677" u="1"/>
        <n v="202302678" u="1"/>
        <n v="202302585" u="1"/>
        <n v="202302586" u="1"/>
        <n v="202302587" u="1"/>
        <n v="202302588" u="1"/>
        <n v="202302589" u="1"/>
        <n v="202302590" u="1"/>
        <n v="202302591" u="1"/>
        <n v="202302592" u="1"/>
        <n v="202302593" u="1"/>
        <n v="202302594" u="1"/>
        <n v="202302595" u="1"/>
        <n v="202302596" u="1"/>
        <n v="202302597" u="1"/>
        <n v="202302598" u="1"/>
        <n v="202302599" u="1"/>
        <n v="202302600" u="1"/>
      </sharedItems>
    </cacheField>
    <cacheField name="N°QRQC" numFmtId="0">
      <sharedItems containsString="0" containsBlank="1" containsNumber="1" containsInteger="1" minValue="251607" maxValue="202302711"/>
    </cacheField>
    <cacheField name="Action de correction" numFmtId="0">
      <sharedItems containsBlank="1" count="14">
        <s v="Piéce conforme"/>
        <s v="refaire l'operation"/>
        <s v="mise en rebut"/>
        <s v="refaire la piece"/>
        <s v="Demande de remplacement"/>
        <m/>
        <s v="Piece conforme" u="1"/>
        <s v="manque centrage (ajout centrage)" u="1"/>
        <s v="Modif sur N1" u="1"/>
        <s v="Modif sur N1(manque fixation vérin)" u="1"/>
        <s v="CAO" u="1"/>
        <s v="FAO" u="1"/>
        <s v="CNC" u="1"/>
        <s v="Piéce à refaire " u="1"/>
      </sharedItems>
    </cacheField>
    <cacheField name="Detail de l'action" numFmtId="0">
      <sharedItems containsBlank="1"/>
    </cacheField>
    <cacheField name="Origine de défaut" numFmtId="0">
      <sharedItems containsBlank="1" count="13">
        <s v="MMC"/>
        <s v="CNC"/>
        <s v="FAO"/>
        <s v="CAO"/>
        <s v="MONTAGE"/>
        <s v="contrôle technique"/>
        <s v="magazin"/>
        <m/>
        <s v="Taraudage" u="1"/>
        <s v="magasin" u="1"/>
        <s v="assemblage" u="1"/>
        <s v="M,cam" u="1"/>
        <s v="QM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">
  <r>
    <x v="0"/>
    <x v="0"/>
    <x v="0"/>
    <x v="0"/>
    <s v="Ben Abdessamad Hassen"/>
    <s v="N25-0310/21"/>
    <x v="0"/>
    <n v="3"/>
    <n v="0"/>
    <m/>
    <x v="0"/>
    <x v="0"/>
    <m/>
    <x v="0"/>
    <m/>
    <x v="0"/>
  </r>
  <r>
    <x v="0"/>
    <x v="0"/>
    <x v="0"/>
    <x v="0"/>
    <s v="Ben Abdessamad Hassen"/>
    <s v="N25-0312/1"/>
    <x v="0"/>
    <n v="3"/>
    <n v="0"/>
    <m/>
    <x v="0"/>
    <x v="0"/>
    <m/>
    <x v="0"/>
    <m/>
    <x v="0"/>
  </r>
  <r>
    <x v="0"/>
    <x v="0"/>
    <x v="0"/>
    <x v="0"/>
    <s v="Ben Abdessamad Hassen"/>
    <s v="N25-0312/2"/>
    <x v="0"/>
    <n v="3"/>
    <n v="0"/>
    <m/>
    <x v="0"/>
    <x v="0"/>
    <m/>
    <x v="0"/>
    <m/>
    <x v="0"/>
  </r>
  <r>
    <x v="0"/>
    <x v="0"/>
    <x v="0"/>
    <x v="0"/>
    <s v="Ben Abdessamad Hassen"/>
    <s v="N25-0310/23"/>
    <x v="0"/>
    <n v="2"/>
    <n v="1"/>
    <s v="D1"/>
    <x v="1"/>
    <x v="1"/>
    <m/>
    <x v="1"/>
    <s v="Poche vérin+poche pour D1"/>
    <x v="1"/>
  </r>
  <r>
    <x v="0"/>
    <x v="0"/>
    <x v="0"/>
    <x v="0"/>
    <s v="Ben Abdessamad Hassen"/>
    <s v="N25-0312/7"/>
    <x v="0"/>
    <n v="6"/>
    <n v="0"/>
    <m/>
    <x v="0"/>
    <x v="0"/>
    <m/>
    <x v="0"/>
    <m/>
    <x v="0"/>
  </r>
  <r>
    <x v="0"/>
    <x v="0"/>
    <x v="0"/>
    <x v="0"/>
    <s v="Ben Abdessamad Hassen"/>
    <s v="N25-0312/6"/>
    <x v="0"/>
    <n v="3"/>
    <n v="0"/>
    <m/>
    <x v="0"/>
    <x v="0"/>
    <m/>
    <x v="0"/>
    <m/>
    <x v="0"/>
  </r>
  <r>
    <x v="0"/>
    <x v="0"/>
    <x v="0"/>
    <x v="0"/>
    <s v="Ben Abdessamad Hassen"/>
    <s v="N25-0312/3"/>
    <x v="0"/>
    <n v="6"/>
    <n v="0"/>
    <m/>
    <x v="0"/>
    <x v="0"/>
    <m/>
    <x v="0"/>
    <m/>
    <x v="0"/>
  </r>
  <r>
    <x v="0"/>
    <x v="0"/>
    <x v="0"/>
    <x v="0"/>
    <s v="Ben Abdessamad Hassen"/>
    <s v="N25-0312/4"/>
    <x v="0"/>
    <n v="6"/>
    <n v="0"/>
    <m/>
    <x v="0"/>
    <x v="0"/>
    <m/>
    <x v="0"/>
    <m/>
    <x v="0"/>
  </r>
  <r>
    <x v="0"/>
    <x v="0"/>
    <x v="0"/>
    <x v="0"/>
    <s v="Ben Abdessamad Hassen"/>
    <s v="N25-0312/16"/>
    <x v="1"/>
    <n v="4"/>
    <n v="0"/>
    <m/>
    <x v="0"/>
    <x v="0"/>
    <m/>
    <x v="0"/>
    <m/>
    <x v="0"/>
  </r>
  <r>
    <x v="0"/>
    <x v="0"/>
    <x v="0"/>
    <x v="0"/>
    <s v="Ben Abdessamad Hassen"/>
    <s v="N25-0312/14"/>
    <x v="1"/>
    <n v="5"/>
    <n v="0"/>
    <m/>
    <x v="0"/>
    <x v="0"/>
    <m/>
    <x v="0"/>
    <m/>
    <x v="0"/>
  </r>
  <r>
    <x v="0"/>
    <x v="0"/>
    <x v="0"/>
    <x v="0"/>
    <s v="Ben Abdessamad Hassen"/>
    <s v="N25-0312/5"/>
    <x v="0"/>
    <n v="3"/>
    <n v="0"/>
    <m/>
    <x v="0"/>
    <x v="0"/>
    <m/>
    <x v="0"/>
    <m/>
    <x v="0"/>
  </r>
  <r>
    <x v="0"/>
    <x v="0"/>
    <x v="0"/>
    <x v="0"/>
    <s v="Ben Abdessamad Hassen"/>
    <s v="N25-0312/12"/>
    <x v="0"/>
    <n v="16"/>
    <n v="0"/>
    <m/>
    <x v="0"/>
    <x v="0"/>
    <m/>
    <x v="0"/>
    <m/>
    <x v="0"/>
  </r>
  <r>
    <x v="0"/>
    <x v="0"/>
    <x v="0"/>
    <x v="0"/>
    <s v="Ben Abdessamad Hassen"/>
    <s v="N25-0310/20"/>
    <x v="0"/>
    <n v="16"/>
    <n v="0"/>
    <m/>
    <x v="0"/>
    <x v="0"/>
    <m/>
    <x v="0"/>
    <m/>
    <x v="0"/>
  </r>
  <r>
    <x v="0"/>
    <x v="0"/>
    <x v="0"/>
    <x v="0"/>
    <s v="Ben Abdessamad Hassen"/>
    <s v="N25-0312/17"/>
    <x v="1"/>
    <n v="4"/>
    <n v="0"/>
    <m/>
    <x v="0"/>
    <x v="0"/>
    <m/>
    <x v="0"/>
    <m/>
    <x v="0"/>
  </r>
  <r>
    <x v="0"/>
    <x v="0"/>
    <x v="0"/>
    <x v="0"/>
    <s v="Ben Abdessamad Hassen"/>
    <s v="N25-0312/11"/>
    <x v="0"/>
    <n v="7"/>
    <n v="0"/>
    <m/>
    <x v="0"/>
    <x v="0"/>
    <m/>
    <x v="0"/>
    <m/>
    <x v="0"/>
  </r>
  <r>
    <x v="0"/>
    <x v="0"/>
    <x v="0"/>
    <x v="0"/>
    <s v="HALIM"/>
    <s v="N25-0310/22"/>
    <x v="0"/>
    <n v="3"/>
    <n v="0"/>
    <m/>
    <x v="0"/>
    <x v="0"/>
    <m/>
    <x v="0"/>
    <m/>
    <x v="0"/>
  </r>
  <r>
    <x v="0"/>
    <x v="0"/>
    <x v="0"/>
    <x v="0"/>
    <s v="HALIM"/>
    <s v="N25-0310/4"/>
    <x v="0"/>
    <n v="7"/>
    <n v="0"/>
    <m/>
    <x v="0"/>
    <x v="0"/>
    <m/>
    <x v="0"/>
    <m/>
    <x v="0"/>
  </r>
  <r>
    <x v="0"/>
    <x v="0"/>
    <x v="0"/>
    <x v="0"/>
    <s v="HALIM"/>
    <s v="N25-0310/1"/>
    <x v="0"/>
    <n v="12"/>
    <n v="1"/>
    <m/>
    <x v="2"/>
    <x v="2"/>
    <m/>
    <x v="1"/>
    <s v="Mnq pérçage 1,9"/>
    <x v="2"/>
  </r>
  <r>
    <x v="0"/>
    <x v="0"/>
    <x v="0"/>
    <x v="0"/>
    <s v="HALIM"/>
    <s v="N25-0312/15"/>
    <x v="1"/>
    <n v="6"/>
    <n v="1"/>
    <s v="B1"/>
    <x v="3"/>
    <x v="3"/>
    <n v="251607"/>
    <x v="1"/>
    <m/>
    <x v="3"/>
  </r>
  <r>
    <x v="0"/>
    <x v="0"/>
    <x v="0"/>
    <x v="0"/>
    <s v="HALIM"/>
    <s v="N25-0293/11"/>
    <x v="1"/>
    <n v="6"/>
    <n v="1"/>
    <s v="N1"/>
    <x v="2"/>
    <x v="1"/>
    <n v="251608"/>
    <x v="1"/>
    <s v="Z 5,5 au lieu de 5"/>
    <x v="2"/>
  </r>
  <r>
    <x v="0"/>
    <x v="0"/>
    <x v="0"/>
    <x v="0"/>
    <s v="HALIM"/>
    <s v="N25-0310/2"/>
    <x v="0"/>
    <n v="12"/>
    <n v="1"/>
    <m/>
    <x v="4"/>
    <x v="4"/>
    <m/>
    <x v="2"/>
    <s v="Piéce endommager"/>
    <x v="1"/>
  </r>
  <r>
    <x v="0"/>
    <x v="0"/>
    <x v="0"/>
    <x v="0"/>
    <s v="HALIM"/>
    <s v="N25-0310/13"/>
    <x v="0"/>
    <n v="18"/>
    <n v="1"/>
    <s v="B1"/>
    <x v="5"/>
    <x v="5"/>
    <n v="251609"/>
    <x v="2"/>
    <s v="Z fini incorrect"/>
    <x v="1"/>
  </r>
  <r>
    <x v="0"/>
    <x v="0"/>
    <x v="0"/>
    <x v="0"/>
    <s v="HALIM"/>
    <s v="N25-0274/108"/>
    <x v="0"/>
    <n v="6"/>
    <n v="1"/>
    <s v="P3"/>
    <x v="6"/>
    <x v="6"/>
    <n v="251610"/>
    <x v="1"/>
    <m/>
    <x v="1"/>
  </r>
  <r>
    <x v="0"/>
    <x v="0"/>
    <x v="0"/>
    <x v="0"/>
    <s v="HALIM"/>
    <s v="N25-0310/8"/>
    <x v="0"/>
    <n v="16"/>
    <n v="1"/>
    <s v="P1+PEEK"/>
    <x v="7"/>
    <x v="7"/>
    <n v="251611"/>
    <x v="1"/>
    <m/>
    <x v="1"/>
  </r>
  <r>
    <x v="0"/>
    <x v="0"/>
    <x v="1"/>
    <x v="0"/>
    <s v="Ben Abdessamad Hassen"/>
    <s v="N25-0312/8"/>
    <x v="0"/>
    <n v="5"/>
    <n v="0"/>
    <m/>
    <x v="0"/>
    <x v="0"/>
    <m/>
    <x v="0"/>
    <m/>
    <x v="0"/>
  </r>
  <r>
    <x v="0"/>
    <x v="0"/>
    <x v="1"/>
    <x v="0"/>
    <s v="Ben Abdessamad Hassen"/>
    <s v="N25-0311/4"/>
    <x v="0"/>
    <n v="120"/>
    <n v="1"/>
    <s v="P2"/>
    <x v="2"/>
    <x v="8"/>
    <n v="251612"/>
    <x v="2"/>
    <s v="mnq finition"/>
    <x v="2"/>
  </r>
  <r>
    <x v="0"/>
    <x v="0"/>
    <x v="1"/>
    <x v="0"/>
    <s v="Ben Abdessamad Hassen"/>
    <s v="N25-0312/9"/>
    <x v="0"/>
    <n v="9"/>
    <n v="0"/>
    <m/>
    <x v="0"/>
    <x v="0"/>
    <m/>
    <x v="0"/>
    <m/>
    <x v="0"/>
  </r>
  <r>
    <x v="0"/>
    <x v="0"/>
    <x v="1"/>
    <x v="0"/>
    <s v="Ben Abdessamad Hassen"/>
    <s v="N25-0310/14"/>
    <x v="1"/>
    <n v="6"/>
    <n v="1"/>
    <s v="N1+Peek"/>
    <x v="2"/>
    <x v="9"/>
    <m/>
    <x v="1"/>
    <s v="Pérçage 1,9"/>
    <x v="2"/>
  </r>
  <r>
    <x v="0"/>
    <x v="0"/>
    <x v="1"/>
    <x v="0"/>
    <s v="Ben Abdessamad Hassen"/>
    <s v="N25-0293/5"/>
    <x v="1"/>
    <n v="3"/>
    <n v="0"/>
    <m/>
    <x v="0"/>
    <x v="0"/>
    <m/>
    <x v="0"/>
    <m/>
    <x v="0"/>
  </r>
  <r>
    <x v="0"/>
    <x v="0"/>
    <x v="1"/>
    <x v="0"/>
    <s v="Ben Abdessamad Hassen"/>
    <s v="N25-0310/7"/>
    <x v="0"/>
    <n v="1"/>
    <n v="1"/>
    <s v="N1"/>
    <x v="1"/>
    <x v="10"/>
    <n v="251613"/>
    <x v="1"/>
    <m/>
    <x v="1"/>
  </r>
  <r>
    <x v="0"/>
    <x v="0"/>
    <x v="1"/>
    <x v="0"/>
    <s v="HALIM"/>
    <s v="N25-0274/114"/>
    <x v="0"/>
    <n v="5"/>
    <n v="0"/>
    <m/>
    <x v="0"/>
    <x v="0"/>
    <m/>
    <x v="0"/>
    <m/>
    <x v="0"/>
  </r>
  <r>
    <x v="0"/>
    <x v="0"/>
    <x v="1"/>
    <x v="0"/>
    <s v="HALIM"/>
    <s v="N25-0310/3"/>
    <x v="0"/>
    <n v="7"/>
    <n v="0"/>
    <m/>
    <x v="0"/>
    <x v="0"/>
    <m/>
    <x v="0"/>
    <m/>
    <x v="0"/>
  </r>
  <r>
    <x v="0"/>
    <x v="0"/>
    <x v="1"/>
    <x v="0"/>
    <s v="HALIM"/>
    <s v="N25-0310/5"/>
    <x v="0"/>
    <n v="7"/>
    <n v="0"/>
    <m/>
    <x v="0"/>
    <x v="0"/>
    <m/>
    <x v="0"/>
    <m/>
    <x v="0"/>
  </r>
  <r>
    <x v="0"/>
    <x v="0"/>
    <x v="1"/>
    <x v="0"/>
    <s v="HALIM"/>
    <s v="N25-0310/14"/>
    <x v="1"/>
    <n v="4"/>
    <n v="0"/>
    <m/>
    <x v="0"/>
    <x v="0"/>
    <m/>
    <x v="0"/>
    <m/>
    <x v="0"/>
  </r>
  <r>
    <x v="0"/>
    <x v="0"/>
    <x v="1"/>
    <x v="0"/>
    <s v="HALIM"/>
    <s v="N25-0312/13"/>
    <x v="0"/>
    <n v="129"/>
    <n v="0"/>
    <m/>
    <x v="0"/>
    <x v="0"/>
    <m/>
    <x v="0"/>
    <m/>
    <x v="0"/>
  </r>
  <r>
    <x v="0"/>
    <x v="0"/>
    <x v="2"/>
    <x v="0"/>
    <s v="Ben Abdessamad Hassen"/>
    <s v="N25-0311/4"/>
    <x v="0"/>
    <n v="121"/>
    <n v="0"/>
    <m/>
    <x v="0"/>
    <x v="0"/>
    <m/>
    <x v="0"/>
    <m/>
    <x v="0"/>
  </r>
  <r>
    <x v="0"/>
    <x v="0"/>
    <x v="2"/>
    <x v="0"/>
    <s v="Ben Abdessamad Hassen"/>
    <s v="N25-0311/3"/>
    <x v="1"/>
    <n v="11"/>
    <n v="0"/>
    <m/>
    <x v="0"/>
    <x v="0"/>
    <m/>
    <x v="0"/>
    <m/>
    <x v="0"/>
  </r>
  <r>
    <x v="0"/>
    <x v="0"/>
    <x v="2"/>
    <x v="0"/>
    <s v="Ben Abdessamad Hassen"/>
    <s v="N25-0311/2"/>
    <x v="1"/>
    <n v="11"/>
    <n v="1"/>
    <s v="P2"/>
    <x v="2"/>
    <x v="8"/>
    <n v="251614"/>
    <x v="2"/>
    <m/>
    <x v="2"/>
  </r>
  <r>
    <x v="0"/>
    <x v="0"/>
    <x v="2"/>
    <x v="0"/>
    <s v="Ben Abdessamad Hassen"/>
    <s v="N25-0292/9"/>
    <x v="1"/>
    <n v="6"/>
    <n v="0"/>
    <m/>
    <x v="0"/>
    <x v="0"/>
    <m/>
    <x v="0"/>
    <m/>
    <x v="0"/>
  </r>
  <r>
    <x v="0"/>
    <x v="0"/>
    <x v="2"/>
    <x v="0"/>
    <s v="Ben Abdessamad Hassen"/>
    <s v="N25-0287/36"/>
    <x v="1"/>
    <n v="38"/>
    <n v="1"/>
    <m/>
    <x v="1"/>
    <x v="11"/>
    <m/>
    <x v="2"/>
    <s v="Poche lamage schtift décalé"/>
    <x v="1"/>
  </r>
  <r>
    <x v="0"/>
    <x v="0"/>
    <x v="2"/>
    <x v="0"/>
    <s v="Ben Abdessamad Hassen"/>
    <s v="N25-0293/21"/>
    <x v="1"/>
    <n v="21"/>
    <n v="1"/>
    <m/>
    <x v="1"/>
    <x v="12"/>
    <m/>
    <x v="2"/>
    <s v="Face non conforme au plan 2D"/>
    <x v="1"/>
  </r>
  <r>
    <x v="0"/>
    <x v="0"/>
    <x v="2"/>
    <x v="0"/>
    <s v="Ben Abdessamad Hassen"/>
    <s v="N25-0303/1"/>
    <x v="1"/>
    <n v="5"/>
    <n v="1"/>
    <s v="P1"/>
    <x v="1"/>
    <x v="1"/>
    <m/>
    <x v="1"/>
    <m/>
    <x v="1"/>
  </r>
  <r>
    <x v="0"/>
    <x v="0"/>
    <x v="2"/>
    <x v="0"/>
    <s v="Ben Abdessamad Hassen"/>
    <s v="N25-0274/24"/>
    <x v="0"/>
    <n v="1"/>
    <n v="1"/>
    <s v="N1"/>
    <x v="1"/>
    <x v="13"/>
    <n v="251615"/>
    <x v="1"/>
    <m/>
    <x v="1"/>
  </r>
  <r>
    <x v="0"/>
    <x v="0"/>
    <x v="2"/>
    <x v="0"/>
    <s v="HALIM"/>
    <s v="N25-0297/1"/>
    <x v="1"/>
    <n v="2"/>
    <n v="1"/>
    <s v="P1"/>
    <x v="1"/>
    <x v="14"/>
    <n v="251616"/>
    <x v="1"/>
    <m/>
    <x v="1"/>
  </r>
  <r>
    <x v="0"/>
    <x v="0"/>
    <x v="2"/>
    <x v="0"/>
    <s v="HALIM"/>
    <s v="N25-0310/12"/>
    <x v="0"/>
    <n v="12"/>
    <n v="1"/>
    <m/>
    <x v="1"/>
    <x v="15"/>
    <m/>
    <x v="2"/>
    <s v="Diametre 1,1 au lieu de 1"/>
    <x v="1"/>
  </r>
  <r>
    <x v="0"/>
    <x v="0"/>
    <x v="2"/>
    <x v="0"/>
    <s v="HALIM"/>
    <s v="N25-0274/113"/>
    <x v="0"/>
    <n v="113"/>
    <n v="1"/>
    <m/>
    <x v="6"/>
    <x v="16"/>
    <m/>
    <x v="1"/>
    <s v="Mnq modif"/>
    <x v="1"/>
  </r>
  <r>
    <x v="0"/>
    <x v="0"/>
    <x v="2"/>
    <x v="0"/>
    <s v="HALIM"/>
    <s v="N25-0293/1"/>
    <x v="0"/>
    <n v="21"/>
    <n v="1"/>
    <m/>
    <x v="2"/>
    <x v="17"/>
    <m/>
    <x v="2"/>
    <s v="PRO INCORRECTE"/>
    <x v="2"/>
  </r>
  <r>
    <x v="0"/>
    <x v="0"/>
    <x v="2"/>
    <x v="0"/>
    <s v="HALIM"/>
    <s v="N25-0001/16"/>
    <x v="0"/>
    <n v="24"/>
    <n v="1"/>
    <s v="B1"/>
    <x v="1"/>
    <x v="13"/>
    <n v="251617"/>
    <x v="1"/>
    <m/>
    <x v="1"/>
  </r>
  <r>
    <x v="0"/>
    <x v="0"/>
    <x v="2"/>
    <x v="0"/>
    <s v="HALIM"/>
    <s v="N25-0287/1"/>
    <x v="1"/>
    <n v="7"/>
    <n v="1"/>
    <s v="PSD"/>
    <x v="6"/>
    <x v="18"/>
    <n v="251618"/>
    <x v="1"/>
    <m/>
    <x v="1"/>
  </r>
  <r>
    <x v="0"/>
    <x v="0"/>
    <x v="2"/>
    <x v="0"/>
    <s v="HALIM"/>
    <s v="N25-0287/48"/>
    <x v="1"/>
    <n v="1"/>
    <n v="1"/>
    <s v="N1"/>
    <x v="2"/>
    <x v="19"/>
    <n v="251619"/>
    <x v="2"/>
    <m/>
    <x v="2"/>
  </r>
  <r>
    <x v="0"/>
    <x v="0"/>
    <x v="3"/>
    <x v="0"/>
    <s v="Ben Abdessamad Hassen"/>
    <s v="N26-0001"/>
    <x v="0"/>
    <n v="18"/>
    <n v="1"/>
    <s v="P1"/>
    <x v="1"/>
    <x v="20"/>
    <n v="251620"/>
    <x v="1"/>
    <m/>
    <x v="1"/>
  </r>
  <r>
    <x v="0"/>
    <x v="0"/>
    <x v="3"/>
    <x v="0"/>
    <s v="Ben Abdessamad Hassen"/>
    <s v="N25-0289/4"/>
    <x v="1"/>
    <n v="7"/>
    <n v="1"/>
    <s v="PSD"/>
    <x v="6"/>
    <x v="18"/>
    <n v="251621"/>
    <x v="2"/>
    <m/>
    <x v="1"/>
  </r>
  <r>
    <x v="0"/>
    <x v="0"/>
    <x v="3"/>
    <x v="0"/>
    <s v="Ben Abdessamad Hassen"/>
    <s v="N25-0289/4"/>
    <x v="1"/>
    <n v="7"/>
    <n v="1"/>
    <s v="P2"/>
    <x v="6"/>
    <x v="21"/>
    <m/>
    <x v="3"/>
    <m/>
    <x v="1"/>
  </r>
  <r>
    <x v="0"/>
    <x v="0"/>
    <x v="3"/>
    <x v="0"/>
    <s v="Ben Abdessamad Hassen"/>
    <s v="N25-0287/48"/>
    <x v="1"/>
    <n v="8"/>
    <n v="1"/>
    <s v="P1+PEEK"/>
    <x v="3"/>
    <x v="14"/>
    <n v="251622"/>
    <x v="1"/>
    <m/>
    <x v="3"/>
  </r>
  <r>
    <x v="0"/>
    <x v="0"/>
    <x v="3"/>
    <x v="0"/>
    <s v="Ben Abdessamad Hassen"/>
    <s v="N25-0287/48"/>
    <x v="1"/>
    <n v="8"/>
    <n v="1"/>
    <s v="N1"/>
    <x v="2"/>
    <x v="12"/>
    <m/>
    <x v="2"/>
    <m/>
    <x v="2"/>
  </r>
  <r>
    <x v="0"/>
    <x v="0"/>
    <x v="3"/>
    <x v="0"/>
    <s v="Ben Abdessamad Hassen"/>
    <s v="N25-0287/48"/>
    <x v="1"/>
    <n v="8"/>
    <n v="1"/>
    <s v="B2+B3"/>
    <x v="1"/>
    <x v="13"/>
    <m/>
    <x v="1"/>
    <s v="piéce non conforme au plan 2 D"/>
    <x v="1"/>
  </r>
  <r>
    <x v="0"/>
    <x v="0"/>
    <x v="3"/>
    <x v="0"/>
    <s v="Ben Abdessamad Hassen"/>
    <s v="N26-0003/4"/>
    <x v="1"/>
    <n v="2"/>
    <n v="1"/>
    <s v="P1"/>
    <x v="3"/>
    <x v="1"/>
    <n v="251623"/>
    <x v="1"/>
    <s v="piéce non conforme au plan 2 D"/>
    <x v="3"/>
  </r>
  <r>
    <x v="0"/>
    <x v="0"/>
    <x v="3"/>
    <x v="0"/>
    <s v="Ben Abdessamad Hassen"/>
    <s v="N25-0310/24"/>
    <x v="0"/>
    <n v="7"/>
    <n v="0"/>
    <m/>
    <x v="0"/>
    <x v="0"/>
    <m/>
    <x v="0"/>
    <m/>
    <x v="0"/>
  </r>
  <r>
    <x v="0"/>
    <x v="0"/>
    <x v="3"/>
    <x v="0"/>
    <s v="Ben Abdessamad Hassen"/>
    <s v="N25-0293/2"/>
    <x v="1"/>
    <n v="21"/>
    <n v="1"/>
    <m/>
    <x v="2"/>
    <x v="5"/>
    <m/>
    <x v="2"/>
    <s v="prof 3,2 au lieu de 2,2"/>
    <x v="2"/>
  </r>
  <r>
    <x v="0"/>
    <x v="0"/>
    <x v="3"/>
    <x v="0"/>
    <s v="HALIM"/>
    <s v="N25-0284/3"/>
    <x v="1"/>
    <n v="5"/>
    <n v="1"/>
    <m/>
    <x v="5"/>
    <x v="5"/>
    <m/>
    <x v="2"/>
    <s v="Prof lamage incorrecte+ cote 20 non conforme"/>
    <x v="1"/>
  </r>
  <r>
    <x v="0"/>
    <x v="0"/>
    <x v="3"/>
    <x v="0"/>
    <s v="HALIM"/>
    <s v="N25-0004/1"/>
    <x v="1"/>
    <n v="5"/>
    <n v="0"/>
    <m/>
    <x v="0"/>
    <x v="0"/>
    <m/>
    <x v="0"/>
    <m/>
    <x v="0"/>
  </r>
  <r>
    <x v="0"/>
    <x v="0"/>
    <x v="3"/>
    <x v="0"/>
    <s v="HALIM"/>
    <s v="N25-0287/38"/>
    <x v="1"/>
    <n v="1"/>
    <n v="1"/>
    <s v="B1"/>
    <x v="2"/>
    <x v="9"/>
    <n v="251624"/>
    <x v="2"/>
    <m/>
    <x v="2"/>
  </r>
  <r>
    <x v="0"/>
    <x v="0"/>
    <x v="3"/>
    <x v="0"/>
    <s v="HALIM"/>
    <s v="N25-0287/53"/>
    <x v="1"/>
    <n v="1"/>
    <n v="1"/>
    <s v="B1"/>
    <x v="2"/>
    <x v="9"/>
    <m/>
    <x v="2"/>
    <m/>
    <x v="2"/>
  </r>
  <r>
    <x v="0"/>
    <x v="0"/>
    <x v="3"/>
    <x v="0"/>
    <s v="HALIM"/>
    <s v="N25-0293/11"/>
    <x v="0"/>
    <n v="18"/>
    <n v="0"/>
    <m/>
    <x v="0"/>
    <x v="0"/>
    <m/>
    <x v="0"/>
    <m/>
    <x v="0"/>
  </r>
  <r>
    <x v="0"/>
    <x v="0"/>
    <x v="3"/>
    <x v="0"/>
    <s v="HALIM"/>
    <s v="N25-0001/39"/>
    <x v="0"/>
    <n v="36"/>
    <n v="1"/>
    <s v="B1"/>
    <x v="5"/>
    <x v="5"/>
    <n v="251625"/>
    <x v="2"/>
    <m/>
    <x v="1"/>
  </r>
  <r>
    <x v="0"/>
    <x v="0"/>
    <x v="3"/>
    <x v="0"/>
    <s v="HALIM"/>
    <s v="N25-0310/15"/>
    <x v="0"/>
    <n v="8"/>
    <n v="1"/>
    <s v="N1"/>
    <x v="5"/>
    <x v="5"/>
    <n v="251626"/>
    <x v="2"/>
    <m/>
    <x v="1"/>
  </r>
  <r>
    <x v="0"/>
    <x v="0"/>
    <x v="4"/>
    <x v="0"/>
    <s v="Ben Abdessamad Hassen"/>
    <s v="N25-0287/53"/>
    <x v="0"/>
    <n v="7"/>
    <n v="0"/>
    <s v="N1"/>
    <x v="0"/>
    <x v="0"/>
    <m/>
    <x v="0"/>
    <m/>
    <x v="0"/>
  </r>
  <r>
    <x v="0"/>
    <x v="0"/>
    <x v="4"/>
    <x v="0"/>
    <s v="Ben Abdessamad Hassen"/>
    <s v="N25-0287/53"/>
    <x v="0"/>
    <n v="7"/>
    <n v="1"/>
    <s v="B1"/>
    <x v="2"/>
    <x v="9"/>
    <m/>
    <x v="2"/>
    <m/>
    <x v="2"/>
  </r>
  <r>
    <x v="0"/>
    <x v="0"/>
    <x v="4"/>
    <x v="0"/>
    <s v="Ben Abdessamad Hassen"/>
    <s v="N25-0310/18"/>
    <x v="0"/>
    <n v="6"/>
    <n v="1"/>
    <s v="P2"/>
    <x v="1"/>
    <x v="14"/>
    <n v="251628"/>
    <x v="1"/>
    <m/>
    <x v="1"/>
  </r>
  <r>
    <x v="0"/>
    <x v="0"/>
    <x v="4"/>
    <x v="0"/>
    <s v="Ben Abdessamad Hassen"/>
    <s v="N26-0003/4"/>
    <x v="1"/>
    <n v="2"/>
    <n v="0"/>
    <m/>
    <x v="0"/>
    <x v="0"/>
    <m/>
    <x v="0"/>
    <m/>
    <x v="0"/>
  </r>
  <r>
    <x v="0"/>
    <x v="0"/>
    <x v="4"/>
    <x v="0"/>
    <s v="Ben Abdessamad Hassen"/>
    <s v="N25-0287/38"/>
    <x v="1"/>
    <n v="7"/>
    <n v="1"/>
    <s v="B1"/>
    <x v="3"/>
    <x v="1"/>
    <n v="251629"/>
    <x v="1"/>
    <m/>
    <x v="3"/>
  </r>
  <r>
    <x v="0"/>
    <x v="0"/>
    <x v="4"/>
    <x v="0"/>
    <s v="Ben Abdessamad Hassen"/>
    <s v="N25-0304/3"/>
    <x v="1"/>
    <n v="6"/>
    <n v="0"/>
    <m/>
    <x v="0"/>
    <x v="0"/>
    <m/>
    <x v="0"/>
    <m/>
    <x v="0"/>
  </r>
  <r>
    <x v="0"/>
    <x v="0"/>
    <x v="4"/>
    <x v="0"/>
    <s v="Ben Abdessamad Hassen"/>
    <s v="N26-0001/15"/>
    <x v="0"/>
    <n v="18"/>
    <n v="1"/>
    <s v="P1"/>
    <x v="7"/>
    <x v="7"/>
    <n v="251630"/>
    <x v="1"/>
    <m/>
    <x v="1"/>
  </r>
  <r>
    <x v="0"/>
    <x v="0"/>
    <x v="4"/>
    <x v="0"/>
    <s v="Ben Abdessamad Hassen"/>
    <s v="N25-0287/40"/>
    <x v="1"/>
    <n v="7"/>
    <n v="1"/>
    <s v="N1"/>
    <x v="1"/>
    <x v="1"/>
    <n v="251631"/>
    <x v="1"/>
    <s v="Prof poche non conforme / douille serré"/>
    <x v="1"/>
  </r>
  <r>
    <x v="0"/>
    <x v="0"/>
    <x v="4"/>
    <x v="0"/>
    <s v="Ben Abdessamad Hassen"/>
    <s v="N25-0272/1"/>
    <x v="1"/>
    <n v="5"/>
    <n v="0"/>
    <m/>
    <x v="0"/>
    <x v="0"/>
    <m/>
    <x v="0"/>
    <m/>
    <x v="0"/>
  </r>
  <r>
    <x v="0"/>
    <x v="0"/>
    <x v="4"/>
    <x v="0"/>
    <s v="Ben Abdessamad Hassen"/>
    <s v="N25-0287/48"/>
    <x v="1"/>
    <n v="7"/>
    <n v="1"/>
    <s v="P1"/>
    <x v="2"/>
    <x v="12"/>
    <n v="251632"/>
    <x v="2"/>
    <m/>
    <x v="2"/>
  </r>
  <r>
    <x v="0"/>
    <x v="0"/>
    <x v="4"/>
    <x v="0"/>
    <s v="HALIM"/>
    <s v="N25-0297/1"/>
    <x v="0"/>
    <n v="2"/>
    <n v="0"/>
    <m/>
    <x v="0"/>
    <x v="0"/>
    <m/>
    <x v="0"/>
    <m/>
    <x v="0"/>
  </r>
  <r>
    <x v="0"/>
    <x v="0"/>
    <x v="4"/>
    <x v="0"/>
    <s v="HALIM"/>
    <s v="N25-0310/14"/>
    <x v="0"/>
    <n v="18"/>
    <n v="0"/>
    <m/>
    <x v="0"/>
    <x v="0"/>
    <m/>
    <x v="0"/>
    <m/>
    <x v="0"/>
  </r>
  <r>
    <x v="0"/>
    <x v="0"/>
    <x v="4"/>
    <x v="0"/>
    <s v="HALIM"/>
    <s v="N25-0292/9"/>
    <x v="0"/>
    <n v="7"/>
    <n v="0"/>
    <m/>
    <x v="0"/>
    <x v="0"/>
    <m/>
    <x v="0"/>
    <m/>
    <x v="0"/>
  </r>
  <r>
    <x v="0"/>
    <x v="0"/>
    <x v="4"/>
    <x v="0"/>
    <s v="HALIM"/>
    <s v="N25-0272/4"/>
    <x v="0"/>
    <n v="3"/>
    <n v="0"/>
    <m/>
    <x v="0"/>
    <x v="0"/>
    <m/>
    <x v="0"/>
    <m/>
    <x v="0"/>
  </r>
  <r>
    <x v="0"/>
    <x v="0"/>
    <x v="4"/>
    <x v="0"/>
    <s v="HALIM"/>
    <s v="N25-0310/6"/>
    <x v="1"/>
    <n v="6"/>
    <n v="1"/>
    <s v="P1"/>
    <x v="5"/>
    <x v="5"/>
    <n v="251633"/>
    <x v="1"/>
    <m/>
    <x v="1"/>
  </r>
  <r>
    <x v="0"/>
    <x v="0"/>
    <x v="4"/>
    <x v="0"/>
    <s v="HALIM"/>
    <s v="N25-0293/5"/>
    <x v="0"/>
    <n v="42"/>
    <n v="0"/>
    <m/>
    <x v="0"/>
    <x v="0"/>
    <m/>
    <x v="0"/>
    <m/>
    <x v="0"/>
  </r>
  <r>
    <x v="0"/>
    <x v="0"/>
    <x v="0"/>
    <x v="1"/>
    <s v="Ammari Slim"/>
    <s v="N25-0292/03"/>
    <x v="1"/>
    <m/>
    <n v="1"/>
    <m/>
    <x v="3"/>
    <x v="22"/>
    <n v="202302585"/>
    <x v="1"/>
    <s v="modif P1"/>
    <x v="3"/>
  </r>
  <r>
    <x v="0"/>
    <x v="0"/>
    <x v="0"/>
    <x v="1"/>
    <s v="Ammari Slim"/>
    <s v="N25-0274/118"/>
    <x v="0"/>
    <m/>
    <n v="1"/>
    <m/>
    <x v="8"/>
    <x v="23"/>
    <n v="202302586"/>
    <x v="4"/>
    <s v="microswitch"/>
    <x v="4"/>
  </r>
  <r>
    <x v="0"/>
    <x v="0"/>
    <x v="0"/>
    <x v="1"/>
    <s v="Ammari Slim"/>
    <s v="N25-0289/08"/>
    <x v="0"/>
    <m/>
    <n v="1"/>
    <m/>
    <x v="4"/>
    <x v="24"/>
    <n v="202302587"/>
    <x v="2"/>
    <s v="chtift"/>
    <x v="4"/>
  </r>
  <r>
    <x v="0"/>
    <x v="0"/>
    <x v="1"/>
    <x v="1"/>
    <s v="Ammari Slim"/>
    <s v="N25-0274/108"/>
    <x v="1"/>
    <m/>
    <n v="1"/>
    <s v="N1"/>
    <x v="1"/>
    <x v="14"/>
    <n v="202302588"/>
    <x v="1"/>
    <s v="N1 à refaire"/>
    <x v="1"/>
  </r>
  <r>
    <x v="0"/>
    <x v="0"/>
    <x v="1"/>
    <x v="1"/>
    <s v="Ammari Slim"/>
    <s v="N25-0277/01"/>
    <x v="1"/>
    <m/>
    <n v="1"/>
    <s v="P1"/>
    <x v="2"/>
    <x v="25"/>
    <n v="202302589"/>
    <x v="1"/>
    <s v="refaire P1"/>
    <x v="2"/>
  </r>
  <r>
    <x v="0"/>
    <x v="0"/>
    <x v="1"/>
    <x v="2"/>
    <s v="Ammari Slim"/>
    <s v="N25-0274/24"/>
    <x v="0"/>
    <m/>
    <n v="1"/>
    <s v="N1"/>
    <x v="9"/>
    <x v="26"/>
    <n v="202302590"/>
    <x v="2"/>
    <s v="Refaire N1"/>
    <x v="4"/>
  </r>
  <r>
    <x v="0"/>
    <x v="0"/>
    <x v="2"/>
    <x v="1"/>
    <s v="Ammari Slim"/>
    <s v="N25-0274/108"/>
    <x v="1"/>
    <m/>
    <n v="1"/>
    <m/>
    <x v="4"/>
    <x v="4"/>
    <n v="202302591"/>
    <x v="2"/>
    <s v="couvercle à refaire"/>
    <x v="1"/>
  </r>
  <r>
    <x v="0"/>
    <x v="0"/>
    <x v="2"/>
    <x v="1"/>
    <s v="Ammari Slim"/>
    <s v="N25-0303/01"/>
    <x v="1"/>
    <m/>
    <n v="1"/>
    <m/>
    <x v="4"/>
    <x v="24"/>
    <n v="202302592"/>
    <x v="2"/>
    <s v="bague +shalter"/>
    <x v="4"/>
  </r>
  <r>
    <x v="0"/>
    <x v="0"/>
    <x v="3"/>
    <x v="1"/>
    <s v="Ammari Slim"/>
    <s v="N25-0293/02"/>
    <x v="1"/>
    <m/>
    <n v="1"/>
    <s v="B1"/>
    <x v="2"/>
    <x v="27"/>
    <n v="202302593"/>
    <x v="1"/>
    <s v="réparation  B1"/>
    <x v="2"/>
  </r>
  <r>
    <x v="0"/>
    <x v="0"/>
    <x v="4"/>
    <x v="1"/>
    <s v="Ammari Slim"/>
    <s v="N25-0304/03"/>
    <x v="1"/>
    <m/>
    <n v="1"/>
    <s v="N1"/>
    <x v="1"/>
    <x v="10"/>
    <n v="202302594"/>
    <x v="1"/>
    <s v="refaire l'usinage de N1"/>
    <x v="1"/>
  </r>
  <r>
    <x v="0"/>
    <x v="0"/>
    <x v="4"/>
    <x v="1"/>
    <s v="Ammari Slim"/>
    <s v="N25-0293/11"/>
    <x v="0"/>
    <m/>
    <n v="1"/>
    <m/>
    <x v="8"/>
    <x v="23"/>
    <n v="202302595"/>
    <x v="4"/>
    <s v="bagues shtift ( Manque de la part du Magasin)"/>
    <x v="4"/>
  </r>
  <r>
    <x v="0"/>
    <x v="0"/>
    <x v="4"/>
    <x v="1"/>
    <s v="Ammari Slim"/>
    <s v="N25-0287/53"/>
    <x v="1"/>
    <m/>
    <n v="1"/>
    <s v="B1"/>
    <x v="3"/>
    <x v="2"/>
    <n v="202302596"/>
    <x v="1"/>
    <s v="modif sur B1"/>
    <x v="3"/>
  </r>
  <r>
    <x v="0"/>
    <x v="0"/>
    <x v="4"/>
    <x v="1"/>
    <s v="Ammari Slim"/>
    <s v="N25-0311/03"/>
    <x v="0"/>
    <m/>
    <n v="1"/>
    <s v="vérin"/>
    <x v="4"/>
    <x v="24"/>
    <n v="202302597"/>
    <x v="4"/>
    <s v="vérin endommagé(changement)"/>
    <x v="4"/>
  </r>
  <r>
    <x v="0"/>
    <x v="0"/>
    <x v="4"/>
    <x v="1"/>
    <s v="Ammari Slim"/>
    <s v="N25-0311/03"/>
    <x v="0"/>
    <m/>
    <n v="1"/>
    <s v="P2,P3"/>
    <x v="1"/>
    <x v="28"/>
    <n v="202302598"/>
    <x v="1"/>
    <s v="P2,P3(répartion  sur  machine)"/>
    <x v="1"/>
  </r>
  <r>
    <x v="0"/>
    <x v="0"/>
    <x v="4"/>
    <x v="1"/>
    <s v="Ammari Slim"/>
    <s v="N25-0287/40"/>
    <x v="1"/>
    <m/>
    <n v="1"/>
    <s v="P2"/>
    <x v="3"/>
    <x v="1"/>
    <n v="202302599"/>
    <x v="1"/>
    <s v="Refaire P2"/>
    <x v="3"/>
  </r>
  <r>
    <x v="0"/>
    <x v="0"/>
    <x v="4"/>
    <x v="1"/>
    <s v="Ammari Slim"/>
    <s v="N25-0004/01"/>
    <x v="1"/>
    <m/>
    <n v="1"/>
    <s v="B1"/>
    <x v="3"/>
    <x v="29"/>
    <n v="202302600"/>
    <x v="2"/>
    <s v="Refaire B1"/>
    <x v="3"/>
  </r>
  <r>
    <x v="1"/>
    <x v="0"/>
    <x v="5"/>
    <x v="1"/>
    <s v="Ammari Slim"/>
    <s v="N25-0310/24"/>
    <x v="0"/>
    <m/>
    <n v="1"/>
    <s v="D1"/>
    <x v="1"/>
    <x v="3"/>
    <n v="202302601"/>
    <x v="1"/>
    <s v="refaire l'usinage de D1"/>
    <x v="1"/>
  </r>
  <r>
    <x v="1"/>
    <x v="0"/>
    <x v="5"/>
    <x v="1"/>
    <s v="Ammari Slim"/>
    <s v="N25-0287/38"/>
    <x v="1"/>
    <m/>
    <n v="1"/>
    <m/>
    <x v="4"/>
    <x v="24"/>
    <n v="202302602"/>
    <x v="2"/>
    <s v="bagues"/>
    <x v="4"/>
  </r>
  <r>
    <x v="1"/>
    <x v="0"/>
    <x v="5"/>
    <x v="1"/>
    <s v="Ammari Slim"/>
    <s v="N25-0293/19"/>
    <x v="0"/>
    <m/>
    <n v="1"/>
    <s v="N1"/>
    <x v="8"/>
    <x v="30"/>
    <n v="202302603"/>
    <x v="3"/>
    <s v="Refaire N1(manque pièce usinée)"/>
    <x v="1"/>
  </r>
  <r>
    <x v="1"/>
    <x v="0"/>
    <x v="5"/>
    <x v="0"/>
    <s v="Ben Abdessamad Hassen"/>
    <s v="N25-0287/48"/>
    <x v="1"/>
    <n v="7"/>
    <n v="0"/>
    <m/>
    <x v="0"/>
    <x v="0"/>
    <m/>
    <x v="0"/>
    <m/>
    <x v="0"/>
  </r>
  <r>
    <x v="1"/>
    <x v="0"/>
    <x v="5"/>
    <x v="0"/>
    <s v="HALIM"/>
    <s v="N25-0287/3"/>
    <x v="1"/>
    <n v="6"/>
    <n v="0"/>
    <m/>
    <x v="0"/>
    <x v="0"/>
    <m/>
    <x v="0"/>
    <m/>
    <x v="0"/>
  </r>
  <r>
    <x v="1"/>
    <x v="0"/>
    <x v="5"/>
    <x v="0"/>
    <s v="HALIM"/>
    <s v="N25-0287/36"/>
    <x v="0"/>
    <n v="38"/>
    <n v="1"/>
    <s v="P1"/>
    <x v="3"/>
    <x v="1"/>
    <m/>
    <x v="1"/>
    <s v="Poche vérin serré"/>
    <x v="3"/>
  </r>
  <r>
    <x v="1"/>
    <x v="0"/>
    <x v="5"/>
    <x v="0"/>
    <s v="HALIM"/>
    <s v="N25-0001/32"/>
    <x v="0"/>
    <n v="20"/>
    <n v="1"/>
    <s v="P1"/>
    <x v="1"/>
    <x v="1"/>
    <n v="251634"/>
    <x v="1"/>
    <m/>
    <x v="1"/>
  </r>
  <r>
    <x v="1"/>
    <x v="0"/>
    <x v="5"/>
    <x v="0"/>
    <s v="HALIM"/>
    <s v="N25-0287/38"/>
    <x v="1"/>
    <n v="38"/>
    <n v="1"/>
    <m/>
    <x v="6"/>
    <x v="31"/>
    <m/>
    <x v="3"/>
    <s v="Nbr piéce incorrecte"/>
    <x v="1"/>
  </r>
  <r>
    <x v="1"/>
    <x v="0"/>
    <x v="5"/>
    <x v="0"/>
    <s v="HALIM"/>
    <s v="N25-0001/13"/>
    <x v="0"/>
    <n v="31"/>
    <n v="1"/>
    <s v="P1"/>
    <x v="6"/>
    <x v="21"/>
    <n v="251635"/>
    <x v="4"/>
    <s v="Mnq modif"/>
    <x v="1"/>
  </r>
  <r>
    <x v="1"/>
    <x v="0"/>
    <x v="5"/>
    <x v="0"/>
    <s v="HALIM"/>
    <s v="N25-0020/1"/>
    <x v="0"/>
    <n v="12"/>
    <n v="1"/>
    <s v="SOCLE"/>
    <x v="6"/>
    <x v="18"/>
    <n v="251636"/>
    <x v="1"/>
    <s v="Piéce à refaire "/>
    <x v="1"/>
  </r>
  <r>
    <x v="1"/>
    <x v="0"/>
    <x v="5"/>
    <x v="0"/>
    <s v="HALIM"/>
    <s v="N25-0310/14"/>
    <x v="0"/>
    <n v="1"/>
    <n v="1"/>
    <s v="PEEK "/>
    <x v="4"/>
    <x v="4"/>
    <n v="251637"/>
    <x v="3"/>
    <s v="Mnq alésoire2"/>
    <x v="1"/>
  </r>
  <r>
    <x v="1"/>
    <x v="0"/>
    <x v="5"/>
    <x v="0"/>
    <s v="Ben Abdessamad Hassen"/>
    <s v="N26-0001/28"/>
    <x v="0"/>
    <n v="21"/>
    <n v="1"/>
    <s v="N1"/>
    <x v="1"/>
    <x v="13"/>
    <n v="251638"/>
    <x v="1"/>
    <s v="Poche non conforme"/>
    <x v="1"/>
  </r>
  <r>
    <x v="1"/>
    <x v="0"/>
    <x v="5"/>
    <x v="0"/>
    <s v="Ben Abdessamad Hassen"/>
    <s v="N26-0001/28"/>
    <x v="0"/>
    <n v="21"/>
    <n v="1"/>
    <s v="P1"/>
    <x v="1"/>
    <x v="1"/>
    <n v="251639"/>
    <x v="1"/>
    <m/>
    <x v="1"/>
  </r>
  <r>
    <x v="1"/>
    <x v="0"/>
    <x v="5"/>
    <x v="0"/>
    <s v="Ben Abdessamad Hassen"/>
    <s v="N26-0001/19"/>
    <x v="0"/>
    <n v="32"/>
    <n v="0"/>
    <m/>
    <x v="0"/>
    <x v="0"/>
    <m/>
    <x v="0"/>
    <m/>
    <x v="0"/>
  </r>
  <r>
    <x v="1"/>
    <x v="0"/>
    <x v="5"/>
    <x v="0"/>
    <s v="Ben Abdessamad Hassen"/>
    <s v="N26-0009/1"/>
    <x v="1"/>
    <n v="6"/>
    <n v="0"/>
    <m/>
    <x v="0"/>
    <x v="0"/>
    <m/>
    <x v="0"/>
    <m/>
    <x v="0"/>
  </r>
  <r>
    <x v="1"/>
    <x v="0"/>
    <x v="6"/>
    <x v="1"/>
    <s v="Ammari Slim"/>
    <s v="N25-0287/40"/>
    <x v="1"/>
    <m/>
    <n v="1"/>
    <s v="microswitch"/>
    <x v="4"/>
    <x v="24"/>
    <n v="202302604"/>
    <x v="4"/>
    <s v="retour au magasin(microswitch)"/>
    <x v="4"/>
  </r>
  <r>
    <x v="1"/>
    <x v="0"/>
    <x v="6"/>
    <x v="1"/>
    <s v="Ammari Slim"/>
    <s v="N25-0277/01"/>
    <x v="1"/>
    <m/>
    <n v="1"/>
    <s v="P2"/>
    <x v="3"/>
    <x v="32"/>
    <n v="202302605"/>
    <x v="2"/>
    <s v="refaire P2"/>
    <x v="3"/>
  </r>
  <r>
    <x v="1"/>
    <x v="0"/>
    <x v="6"/>
    <x v="1"/>
    <s v="Ammari Slim"/>
    <s v="N25-0293/19"/>
    <x v="0"/>
    <m/>
    <n v="1"/>
    <s v="N1"/>
    <x v="1"/>
    <x v="8"/>
    <n v="202302606"/>
    <x v="2"/>
    <s v="Refaire N1(bague tourne libre))"/>
    <x v="1"/>
  </r>
  <r>
    <x v="1"/>
    <x v="0"/>
    <x v="6"/>
    <x v="1"/>
    <s v="Ammari Slim"/>
    <s v="N25-0277/01"/>
    <x v="1"/>
    <m/>
    <n v="1"/>
    <s v="shalter"/>
    <x v="4"/>
    <x v="24"/>
    <n v="202302607"/>
    <x v="4"/>
    <s v="bague+shalter "/>
    <x v="4"/>
  </r>
  <r>
    <x v="1"/>
    <x v="0"/>
    <x v="6"/>
    <x v="1"/>
    <s v="Ammari Slim"/>
    <s v="N25-0277/01"/>
    <x v="1"/>
    <m/>
    <n v="1"/>
    <s v="Bague"/>
    <x v="4"/>
    <x v="24"/>
    <n v="202302607"/>
    <x v="4"/>
    <s v="bague+shalter "/>
    <x v="4"/>
  </r>
  <r>
    <x v="1"/>
    <x v="0"/>
    <x v="7"/>
    <x v="1"/>
    <s v="Ammari Slim"/>
    <s v="N25-0311/04"/>
    <x v="0"/>
    <m/>
    <n v="1"/>
    <m/>
    <x v="8"/>
    <x v="30"/>
    <n v="202302608"/>
    <x v="3"/>
    <s v="manque pièces usinés"/>
    <x v="1"/>
  </r>
  <r>
    <x v="1"/>
    <x v="0"/>
    <x v="7"/>
    <x v="1"/>
    <s v="Ammari Slim"/>
    <s v="N25-0287/03"/>
    <x v="1"/>
    <m/>
    <n v="1"/>
    <s v="N2"/>
    <x v="3"/>
    <x v="7"/>
    <n v="202302609"/>
    <x v="2"/>
    <s v="refaire cuivre"/>
    <x v="3"/>
  </r>
  <r>
    <x v="1"/>
    <x v="0"/>
    <x v="7"/>
    <x v="1"/>
    <s v="Ammari Slim"/>
    <s v="N25-0287/30"/>
    <x v="1"/>
    <m/>
    <n v="1"/>
    <s v="N2"/>
    <x v="1"/>
    <x v="14"/>
    <n v="202302610"/>
    <x v="2"/>
    <s v="N2 à refaire"/>
    <x v="1"/>
  </r>
  <r>
    <x v="1"/>
    <x v="0"/>
    <x v="7"/>
    <x v="1"/>
    <s v="Ammari Slim"/>
    <s v="N25-0284/07"/>
    <x v="1"/>
    <m/>
    <n v="1"/>
    <s v="N2"/>
    <x v="3"/>
    <x v="2"/>
    <n v="202302611"/>
    <x v="2"/>
    <s v="refaire cuivre"/>
    <x v="3"/>
  </r>
  <r>
    <x v="1"/>
    <x v="0"/>
    <x v="7"/>
    <x v="1"/>
    <s v="Ammari Slim"/>
    <s v="N26-0009/01"/>
    <x v="1"/>
    <m/>
    <n v="1"/>
    <s v="shalter"/>
    <x v="4"/>
    <x v="24"/>
    <n v="202302612"/>
    <x v="4"/>
    <s v="retour au magasin(shalter)"/>
    <x v="4"/>
  </r>
  <r>
    <x v="1"/>
    <x v="0"/>
    <x v="7"/>
    <x v="1"/>
    <s v="Ammari Slim"/>
    <s v="N26-0287/05"/>
    <x v="1"/>
    <m/>
    <n v="1"/>
    <s v="B4"/>
    <x v="3"/>
    <x v="1"/>
    <n v="202302613"/>
    <x v="1"/>
    <s v="modif B4"/>
    <x v="3"/>
  </r>
  <r>
    <x v="1"/>
    <x v="0"/>
    <x v="6"/>
    <x v="0"/>
    <s v="HALIM"/>
    <s v="N25-0274/111"/>
    <x v="0"/>
    <n v="6"/>
    <n v="0"/>
    <m/>
    <x v="0"/>
    <x v="0"/>
    <m/>
    <x v="0"/>
    <m/>
    <x v="0"/>
  </r>
  <r>
    <x v="1"/>
    <x v="0"/>
    <x v="6"/>
    <x v="0"/>
    <s v="HALIM"/>
    <s v="N25-0311/1"/>
    <x v="0"/>
    <n v="13"/>
    <n v="1"/>
    <s v="S1"/>
    <x v="6"/>
    <x v="21"/>
    <n v="251640"/>
    <x v="3"/>
    <s v="Mnq usinage"/>
    <x v="1"/>
  </r>
  <r>
    <x v="1"/>
    <x v="0"/>
    <x v="6"/>
    <x v="0"/>
    <s v="HALIM"/>
    <s v="N25-0001/28"/>
    <x v="0"/>
    <n v="14"/>
    <n v="0"/>
    <m/>
    <x v="0"/>
    <x v="0"/>
    <m/>
    <x v="0"/>
    <m/>
    <x v="0"/>
  </r>
  <r>
    <x v="1"/>
    <x v="0"/>
    <x v="6"/>
    <x v="0"/>
    <s v="HALIM"/>
    <s v="N25-0001/26"/>
    <x v="0"/>
    <n v="28"/>
    <n v="1"/>
    <s v="P1"/>
    <x v="6"/>
    <x v="33"/>
    <n v="251641"/>
    <x v="1"/>
    <s v="Mnq face 3"/>
    <x v="1"/>
  </r>
  <r>
    <x v="1"/>
    <x v="0"/>
    <x v="6"/>
    <x v="0"/>
    <s v="HALIM"/>
    <s v="N25-0311/2"/>
    <x v="0"/>
    <n v="72"/>
    <n v="0"/>
    <m/>
    <x v="0"/>
    <x v="0"/>
    <m/>
    <x v="0"/>
    <m/>
    <x v="0"/>
  </r>
  <r>
    <x v="1"/>
    <x v="0"/>
    <x v="6"/>
    <x v="0"/>
    <s v="HALIM"/>
    <s v="N25-0287/30"/>
    <x v="0"/>
    <n v="13"/>
    <n v="1"/>
    <s v="P7"/>
    <x v="6"/>
    <x v="33"/>
    <n v="251642"/>
    <x v="1"/>
    <s v="Mnq face 3"/>
    <x v="1"/>
  </r>
  <r>
    <x v="1"/>
    <x v="0"/>
    <x v="6"/>
    <x v="0"/>
    <s v="HALIM"/>
    <s v="N25-0287/8"/>
    <x v="0"/>
    <n v="7"/>
    <n v="1"/>
    <s v="P1"/>
    <x v="1"/>
    <x v="8"/>
    <n v="251643"/>
    <x v="1"/>
    <s v="Pérçage 3H 7 au lieu de 4"/>
    <x v="1"/>
  </r>
  <r>
    <x v="1"/>
    <x v="0"/>
    <x v="6"/>
    <x v="0"/>
    <s v="Ben Abdessamad Hassen"/>
    <s v="N26-0022/1"/>
    <x v="0"/>
    <n v="21"/>
    <n v="1"/>
    <s v="PEEK "/>
    <x v="6"/>
    <x v="33"/>
    <n v="251644"/>
    <x v="1"/>
    <m/>
    <x v="1"/>
  </r>
  <r>
    <x v="1"/>
    <x v="0"/>
    <x v="6"/>
    <x v="0"/>
    <s v="Ben Abdessamad Hassen"/>
    <s v="N26-0022/1"/>
    <x v="0"/>
    <n v="1"/>
    <n v="1"/>
    <s v="N1"/>
    <x v="1"/>
    <x v="10"/>
    <n v="251645"/>
    <x v="1"/>
    <m/>
    <x v="1"/>
  </r>
  <r>
    <x v="1"/>
    <x v="0"/>
    <x v="6"/>
    <x v="0"/>
    <s v="Ben Abdessamad Hassen"/>
    <s v="N26-0001/33"/>
    <x v="0"/>
    <n v="3"/>
    <n v="1"/>
    <s v="PEEK "/>
    <x v="2"/>
    <x v="4"/>
    <n v="251646"/>
    <x v="2"/>
    <s v="Défaut programme"/>
    <x v="2"/>
  </r>
  <r>
    <x v="1"/>
    <x v="0"/>
    <x v="6"/>
    <x v="0"/>
    <s v="Ben Abdessamad Hassen"/>
    <s v="N26-0001/27"/>
    <x v="0"/>
    <n v="35"/>
    <n v="1"/>
    <s v="P2+P5"/>
    <x v="6"/>
    <x v="33"/>
    <n v="251647"/>
    <x v="1"/>
    <m/>
    <x v="1"/>
  </r>
  <r>
    <x v="1"/>
    <x v="0"/>
    <x v="6"/>
    <x v="0"/>
    <s v="Ben Abdessamad Hassen"/>
    <s v="N25-0287/5"/>
    <x v="1"/>
    <n v="8"/>
    <n v="1"/>
    <s v="N2"/>
    <x v="1"/>
    <x v="13"/>
    <n v="251648"/>
    <x v="1"/>
    <s v="Pérçage 2,6 au lieu de 3H7"/>
    <x v="1"/>
  </r>
  <r>
    <x v="1"/>
    <x v="0"/>
    <x v="7"/>
    <x v="0"/>
    <s v="HALIM"/>
    <s v="N25-0310/10"/>
    <x v="0"/>
    <n v="8"/>
    <n v="1"/>
    <s v="P1"/>
    <x v="2"/>
    <x v="4"/>
    <n v="251649"/>
    <x v="2"/>
    <s v="prof pérçage incorrecte"/>
    <x v="2"/>
  </r>
  <r>
    <x v="1"/>
    <x v="0"/>
    <x v="7"/>
    <x v="0"/>
    <s v="HALIM"/>
    <s v="N25-0310/16"/>
    <x v="0"/>
    <n v="3"/>
    <n v="0"/>
    <m/>
    <x v="0"/>
    <x v="0"/>
    <m/>
    <x v="0"/>
    <m/>
    <x v="0"/>
  </r>
  <r>
    <x v="1"/>
    <x v="0"/>
    <x v="7"/>
    <x v="0"/>
    <s v="HALIM"/>
    <s v="N25-0001/33"/>
    <x v="0"/>
    <n v="36"/>
    <n v="1"/>
    <s v="P1"/>
    <x v="2"/>
    <x v="2"/>
    <n v="251650"/>
    <x v="1"/>
    <s v="poche pour insertion peek"/>
    <x v="2"/>
  </r>
  <r>
    <x v="1"/>
    <x v="0"/>
    <x v="7"/>
    <x v="0"/>
    <s v="HALIM"/>
    <s v="N25-0310/6"/>
    <x v="0"/>
    <n v="6"/>
    <n v="0"/>
    <m/>
    <x v="0"/>
    <x v="0"/>
    <m/>
    <x v="0"/>
    <m/>
    <x v="0"/>
  </r>
  <r>
    <x v="1"/>
    <x v="0"/>
    <x v="7"/>
    <x v="0"/>
    <s v="HALIM"/>
    <s v="N25-0310/11"/>
    <x v="0"/>
    <n v="13"/>
    <n v="0"/>
    <m/>
    <x v="0"/>
    <x v="0"/>
    <m/>
    <x v="0"/>
    <m/>
    <x v="0"/>
  </r>
  <r>
    <x v="1"/>
    <x v="0"/>
    <x v="7"/>
    <x v="0"/>
    <s v="HALIM"/>
    <s v="N25-0001/27"/>
    <x v="0"/>
    <n v="35"/>
    <n v="0"/>
    <m/>
    <x v="0"/>
    <x v="0"/>
    <m/>
    <x v="0"/>
    <m/>
    <x v="0"/>
  </r>
  <r>
    <x v="1"/>
    <x v="0"/>
    <x v="7"/>
    <x v="0"/>
    <s v="HALIM"/>
    <s v="N25-0287/1"/>
    <x v="0"/>
    <n v="11"/>
    <n v="0"/>
    <m/>
    <x v="0"/>
    <x v="0"/>
    <m/>
    <x v="0"/>
    <m/>
    <x v="0"/>
  </r>
  <r>
    <x v="1"/>
    <x v="0"/>
    <x v="7"/>
    <x v="0"/>
    <s v="HALIM"/>
    <s v="N25-0001/30"/>
    <x v="1"/>
    <n v="3"/>
    <n v="0"/>
    <m/>
    <x v="0"/>
    <x v="0"/>
    <m/>
    <x v="0"/>
    <m/>
    <x v="0"/>
  </r>
  <r>
    <x v="1"/>
    <x v="0"/>
    <x v="7"/>
    <x v="0"/>
    <s v="Ben Abdessamad Hassen"/>
    <s v="N25-0296/1"/>
    <x v="1"/>
    <n v="9"/>
    <n v="1"/>
    <s v="B1"/>
    <x v="6"/>
    <x v="33"/>
    <n v="251652"/>
    <x v="1"/>
    <m/>
    <x v="1"/>
  </r>
  <r>
    <x v="1"/>
    <x v="0"/>
    <x v="7"/>
    <x v="0"/>
    <s v="Ben Abdessamad Hassen"/>
    <s v="N25-0296/1"/>
    <x v="1"/>
    <n v="2"/>
    <n v="1"/>
    <s v="P2+P3"/>
    <x v="6"/>
    <x v="34"/>
    <n v="251653"/>
    <x v="1"/>
    <m/>
    <x v="1"/>
  </r>
  <r>
    <x v="1"/>
    <x v="0"/>
    <x v="7"/>
    <x v="0"/>
    <s v="Ben Abdessamad Hassen"/>
    <s v="N25-0287/40"/>
    <x v="1"/>
    <n v="7"/>
    <n v="0"/>
    <m/>
    <x v="0"/>
    <x v="0"/>
    <m/>
    <x v="0"/>
    <m/>
    <x v="0"/>
  </r>
  <r>
    <x v="1"/>
    <x v="0"/>
    <x v="7"/>
    <x v="0"/>
    <s v="Ben Abdessamad Hassen"/>
    <s v="N26-0007/2"/>
    <x v="1"/>
    <n v="5"/>
    <n v="1"/>
    <s v="P2"/>
    <x v="3"/>
    <x v="35"/>
    <n v="251654"/>
    <x v="1"/>
    <m/>
    <x v="3"/>
  </r>
  <r>
    <x v="1"/>
    <x v="0"/>
    <x v="7"/>
    <x v="0"/>
    <s v="Ben Abdessamad Hassen"/>
    <s v="N26-0001/9"/>
    <x v="0"/>
    <n v="32"/>
    <n v="1"/>
    <s v="P1"/>
    <x v="3"/>
    <x v="1"/>
    <n v="251655"/>
    <x v="1"/>
    <m/>
    <x v="3"/>
  </r>
  <r>
    <x v="1"/>
    <x v="0"/>
    <x v="7"/>
    <x v="0"/>
    <s v="Ben Abdessamad Hassen"/>
    <s v="N25-0293/27"/>
    <x v="1"/>
    <n v="1"/>
    <n v="1"/>
    <s v="B2 "/>
    <x v="3"/>
    <x v="12"/>
    <n v="251656"/>
    <x v="2"/>
    <s v="programme non conforme +CAO non fiable"/>
    <x v="3"/>
  </r>
  <r>
    <x v="1"/>
    <x v="0"/>
    <x v="7"/>
    <x v="0"/>
    <s v="Ben Abdessamad Hassen"/>
    <s v="N25-0309/5"/>
    <x v="1"/>
    <n v="2"/>
    <n v="1"/>
    <s v="P3+P2"/>
    <x v="2"/>
    <x v="2"/>
    <n v="251657"/>
    <x v="1"/>
    <m/>
    <x v="2"/>
  </r>
  <r>
    <x v="1"/>
    <x v="0"/>
    <x v="8"/>
    <x v="0"/>
    <s v="HALIM"/>
    <s v="N25-0309/5"/>
    <x v="1"/>
    <n v="7"/>
    <n v="1"/>
    <s v="P1"/>
    <x v="1"/>
    <x v="1"/>
    <n v="251658"/>
    <x v="1"/>
    <s v="Poche pour axe 8"/>
    <x v="1"/>
  </r>
  <r>
    <x v="1"/>
    <x v="0"/>
    <x v="8"/>
    <x v="0"/>
    <s v="HALIM"/>
    <s v="N25-0008/1"/>
    <x v="1"/>
    <n v="7"/>
    <n v="1"/>
    <s v="N1"/>
    <x v="1"/>
    <x v="10"/>
    <n v="251659"/>
    <x v="2"/>
    <s v="Pérçage 2H7 décalé +endommagement"/>
    <x v="1"/>
  </r>
  <r>
    <x v="1"/>
    <x v="0"/>
    <x v="8"/>
    <x v="0"/>
    <s v="HALIM"/>
    <s v="N25-0287/41"/>
    <x v="0"/>
    <n v="15"/>
    <n v="0"/>
    <m/>
    <x v="0"/>
    <x v="0"/>
    <m/>
    <x v="0"/>
    <m/>
    <x v="0"/>
  </r>
  <r>
    <x v="1"/>
    <x v="0"/>
    <x v="8"/>
    <x v="0"/>
    <s v="HALIM"/>
    <s v="N25-0013/1"/>
    <x v="0"/>
    <n v="6"/>
    <n v="1"/>
    <s v="P1"/>
    <x v="7"/>
    <x v="7"/>
    <n v="251660"/>
    <x v="1"/>
    <s v="Poche douille serré"/>
    <x v="1"/>
  </r>
  <r>
    <x v="1"/>
    <x v="0"/>
    <x v="8"/>
    <x v="0"/>
    <s v="HALIM"/>
    <s v="N25-0013/2"/>
    <x v="0"/>
    <n v="6"/>
    <n v="0"/>
    <m/>
    <x v="0"/>
    <x v="0"/>
    <m/>
    <x v="0"/>
    <m/>
    <x v="0"/>
  </r>
  <r>
    <x v="1"/>
    <x v="0"/>
    <x v="8"/>
    <x v="0"/>
    <s v="HALIM"/>
    <s v="N25-0295/1"/>
    <x v="1"/>
    <n v="1"/>
    <n v="1"/>
    <s v="N1"/>
    <x v="6"/>
    <x v="21"/>
    <n v="251661"/>
    <x v="3"/>
    <s v="matiére perdu"/>
    <x v="1"/>
  </r>
  <r>
    <x v="1"/>
    <x v="0"/>
    <x v="8"/>
    <x v="0"/>
    <s v="HALIM"/>
    <s v="N25-0311/1"/>
    <x v="0"/>
    <n v="77"/>
    <n v="1"/>
    <s v="P3"/>
    <x v="1"/>
    <x v="19"/>
    <n v="251662"/>
    <x v="1"/>
    <s v="Languere 100 au lieu de 99"/>
    <x v="1"/>
  </r>
  <r>
    <x v="1"/>
    <x v="0"/>
    <x v="8"/>
    <x v="0"/>
    <s v="HALIM"/>
    <s v="N25-0284/07"/>
    <x v="1"/>
    <n v="2"/>
    <n v="0"/>
    <m/>
    <x v="0"/>
    <x v="0"/>
    <m/>
    <x v="0"/>
    <m/>
    <x v="0"/>
  </r>
  <r>
    <x v="1"/>
    <x v="0"/>
    <x v="8"/>
    <x v="0"/>
    <s v="Ben Abdessamad Hassen"/>
    <s v="N26-0001/10"/>
    <x v="0"/>
    <n v="32"/>
    <n v="1"/>
    <s v="P1"/>
    <x v="3"/>
    <x v="1"/>
    <n v="251663"/>
    <x v="1"/>
    <m/>
    <x v="3"/>
  </r>
  <r>
    <x v="1"/>
    <x v="0"/>
    <x v="8"/>
    <x v="0"/>
    <s v="Ben Abdessamad Hassen"/>
    <s v="N26-0007/2"/>
    <x v="1"/>
    <n v="5"/>
    <n v="0"/>
    <m/>
    <x v="0"/>
    <x v="0"/>
    <m/>
    <x v="0"/>
    <m/>
    <x v="0"/>
  </r>
  <r>
    <x v="1"/>
    <x v="0"/>
    <x v="8"/>
    <x v="0"/>
    <s v="Ben Abdessamad Hassen"/>
    <s v="N26-0009/1"/>
    <x v="0"/>
    <n v="21"/>
    <n v="0"/>
    <m/>
    <x v="0"/>
    <x v="0"/>
    <m/>
    <x v="0"/>
    <m/>
    <x v="0"/>
  </r>
  <r>
    <x v="1"/>
    <x v="0"/>
    <x v="8"/>
    <x v="2"/>
    <s v="Ammari Slim"/>
    <s v="N26-0310/10"/>
    <x v="0"/>
    <m/>
    <n v="1"/>
    <s v="P1"/>
    <x v="2"/>
    <x v="4"/>
    <n v="202302614"/>
    <x v="2"/>
    <s v="refaire P1"/>
    <x v="2"/>
  </r>
  <r>
    <x v="1"/>
    <x v="0"/>
    <x v="8"/>
    <x v="1"/>
    <s v="Ammari Slim"/>
    <s v="N26-0013/02"/>
    <x v="0"/>
    <m/>
    <n v="1"/>
    <s v="P1"/>
    <x v="4"/>
    <x v="4"/>
    <n v="202302615"/>
    <x v="2"/>
    <s v="refaire P1"/>
    <x v="4"/>
  </r>
  <r>
    <x v="1"/>
    <x v="0"/>
    <x v="8"/>
    <x v="1"/>
    <s v="Ammari Slim"/>
    <s v="N26-0309/05"/>
    <x v="1"/>
    <m/>
    <n v="1"/>
    <s v="P4"/>
    <x v="3"/>
    <x v="5"/>
    <n v="202302616"/>
    <x v="2"/>
    <s v="refaire P4"/>
    <x v="3"/>
  </r>
  <r>
    <x v="1"/>
    <x v="0"/>
    <x v="9"/>
    <x v="0"/>
    <s v="HALIM"/>
    <s v="N25-0023/3"/>
    <x v="1"/>
    <n v="3"/>
    <n v="0"/>
    <m/>
    <x v="0"/>
    <x v="0"/>
    <m/>
    <x v="0"/>
    <m/>
    <x v="0"/>
  </r>
  <r>
    <x v="1"/>
    <x v="0"/>
    <x v="9"/>
    <x v="0"/>
    <s v="HALIM"/>
    <s v="N25-0296/4"/>
    <x v="1"/>
    <n v="4"/>
    <n v="0"/>
    <m/>
    <x v="0"/>
    <x v="0"/>
    <m/>
    <x v="0"/>
    <m/>
    <x v="0"/>
  </r>
  <r>
    <x v="1"/>
    <x v="0"/>
    <x v="9"/>
    <x v="0"/>
    <s v="HALIM"/>
    <s v="N25-0005/1"/>
    <x v="1"/>
    <n v="6"/>
    <n v="1"/>
    <s v="B1"/>
    <x v="7"/>
    <x v="36"/>
    <n v="251664"/>
    <x v="1"/>
    <s v="poche pour clips moins que la tolérance"/>
    <x v="1"/>
  </r>
  <r>
    <x v="1"/>
    <x v="0"/>
    <x v="9"/>
    <x v="0"/>
    <s v="HALIM"/>
    <s v="N25-0007/1"/>
    <x v="1"/>
    <n v="3"/>
    <n v="0"/>
    <m/>
    <x v="0"/>
    <x v="0"/>
    <m/>
    <x v="0"/>
    <m/>
    <x v="0"/>
  </r>
  <r>
    <x v="1"/>
    <x v="0"/>
    <x v="9"/>
    <x v="0"/>
    <s v="HALIM"/>
    <s v="N25-0310/9"/>
    <x v="1"/>
    <n v="6"/>
    <n v="1"/>
    <s v="N1"/>
    <x v="2"/>
    <x v="4"/>
    <n v="251665"/>
    <x v="2"/>
    <s v="Non conforme au plan 2 D"/>
    <x v="2"/>
  </r>
  <r>
    <x v="1"/>
    <x v="0"/>
    <x v="9"/>
    <x v="0"/>
    <s v="HALIM"/>
    <s v="N25-0025/2"/>
    <x v="1"/>
    <n v="4"/>
    <n v="1"/>
    <s v="P1"/>
    <x v="2"/>
    <x v="2"/>
    <n v="251666"/>
    <x v="1"/>
    <s v="Mnq pérçage 4,5"/>
    <x v="2"/>
  </r>
  <r>
    <x v="1"/>
    <x v="0"/>
    <x v="9"/>
    <x v="0"/>
    <s v="HALIM"/>
    <s v="N25-0310/25"/>
    <x v="0"/>
    <n v="12"/>
    <n v="0"/>
    <m/>
    <x v="0"/>
    <x v="0"/>
    <m/>
    <x v="0"/>
    <m/>
    <x v="0"/>
  </r>
  <r>
    <x v="1"/>
    <x v="0"/>
    <x v="9"/>
    <x v="0"/>
    <s v="HALIM"/>
    <s v="N25-0001/29"/>
    <x v="0"/>
    <n v="28"/>
    <n v="0"/>
    <m/>
    <x v="0"/>
    <x v="0"/>
    <m/>
    <x v="0"/>
    <m/>
    <x v="0"/>
  </r>
  <r>
    <x v="1"/>
    <x v="0"/>
    <x v="9"/>
    <x v="0"/>
    <s v="HALIM"/>
    <s v="N25-0287/48"/>
    <x v="0"/>
    <n v="8"/>
    <n v="1"/>
    <s v="N1"/>
    <x v="1"/>
    <x v="19"/>
    <n v="251667"/>
    <x v="1"/>
    <s v="Longuer 100 au lieu de 99,5"/>
    <x v="1"/>
  </r>
  <r>
    <x v="1"/>
    <x v="0"/>
    <x v="9"/>
    <x v="0"/>
    <s v="HALIM"/>
    <s v="N25-0295/1"/>
    <x v="1"/>
    <n v="7"/>
    <n v="0"/>
    <m/>
    <x v="0"/>
    <x v="0"/>
    <m/>
    <x v="0"/>
    <m/>
    <x v="0"/>
  </r>
  <r>
    <x v="1"/>
    <x v="0"/>
    <x v="9"/>
    <x v="0"/>
    <s v="HALIM"/>
    <s v="N25-0309/1"/>
    <x v="1"/>
    <n v="1"/>
    <n v="1"/>
    <s v="P3"/>
    <x v="4"/>
    <x v="4"/>
    <n v="251668"/>
    <x v="2"/>
    <s v="Endommagement en cours d'usinage"/>
    <x v="1"/>
  </r>
  <r>
    <x v="1"/>
    <x v="0"/>
    <x v="9"/>
    <x v="0"/>
    <s v="Ben Abdessamad Hassen"/>
    <s v="N25-0287/5"/>
    <x v="0"/>
    <n v="8"/>
    <n v="0"/>
    <m/>
    <x v="0"/>
    <x v="0"/>
    <m/>
    <x v="0"/>
    <m/>
    <x v="0"/>
  </r>
  <r>
    <x v="1"/>
    <x v="0"/>
    <x v="9"/>
    <x v="0"/>
    <s v="Ben Abdessamad Hassen"/>
    <s v="N25-0287/37"/>
    <x v="1"/>
    <n v="5"/>
    <n v="1"/>
    <m/>
    <x v="0"/>
    <x v="0"/>
    <m/>
    <x v="0"/>
    <m/>
    <x v="0"/>
  </r>
  <r>
    <x v="1"/>
    <x v="0"/>
    <x v="9"/>
    <x v="0"/>
    <s v="Ben Abdessamad Hassen"/>
    <s v="N26-0003/1"/>
    <x v="1"/>
    <n v="1"/>
    <n v="1"/>
    <s v="P1"/>
    <x v="2"/>
    <x v="33"/>
    <n v="251669"/>
    <x v="1"/>
    <m/>
    <x v="2"/>
  </r>
  <r>
    <x v="1"/>
    <x v="0"/>
    <x v="9"/>
    <x v="0"/>
    <s v="Ben Abdessamad Hassen"/>
    <s v="N26-0020/2"/>
    <x v="1"/>
    <n v="9"/>
    <n v="1"/>
    <s v="B4"/>
    <x v="3"/>
    <x v="7"/>
    <n v="251670"/>
    <x v="1"/>
    <m/>
    <x v="3"/>
  </r>
  <r>
    <x v="1"/>
    <x v="0"/>
    <x v="9"/>
    <x v="0"/>
    <s v="Ben Abdessamad Hassen"/>
    <s v="N26-0020/2"/>
    <x v="1"/>
    <n v="1"/>
    <n v="1"/>
    <s v="B2 "/>
    <x v="5"/>
    <x v="5"/>
    <n v="251670"/>
    <x v="1"/>
    <s v="Pérçage1,9 pour schalter schift"/>
    <x v="1"/>
  </r>
  <r>
    <x v="1"/>
    <x v="0"/>
    <x v="9"/>
    <x v="0"/>
    <s v="Ben Abdessamad Hassen"/>
    <s v="N26-0001/7"/>
    <x v="0"/>
    <n v="36"/>
    <n v="1"/>
    <s v="P1"/>
    <x v="5"/>
    <x v="5"/>
    <n v="251671"/>
    <x v="1"/>
    <s v="Profondeur poche vérin 17mm au lieu de 17,5mm"/>
    <x v="1"/>
  </r>
  <r>
    <x v="1"/>
    <x v="0"/>
    <x v="9"/>
    <x v="0"/>
    <s v="Ben Abdessamad Hassen"/>
    <s v="N25-0282/1"/>
    <x v="1"/>
    <n v="5"/>
    <n v="1"/>
    <s v="P1"/>
    <x v="1"/>
    <x v="1"/>
    <n v="251672"/>
    <x v="1"/>
    <s v="Poche vérin"/>
    <x v="1"/>
  </r>
  <r>
    <x v="1"/>
    <x v="0"/>
    <x v="9"/>
    <x v="0"/>
    <s v="Ben Abdessamad Hassen"/>
    <s v="N25-0309/1"/>
    <x v="1"/>
    <n v="6"/>
    <n v="0"/>
    <m/>
    <x v="0"/>
    <x v="0"/>
    <m/>
    <x v="0"/>
    <m/>
    <x v="0"/>
  </r>
  <r>
    <x v="2"/>
    <x v="0"/>
    <x v="10"/>
    <x v="0"/>
    <s v="Ben Abdessamad Hassen"/>
    <s v="N25-0296/1"/>
    <x v="0"/>
    <n v="27"/>
    <n v="0"/>
    <m/>
    <x v="0"/>
    <x v="0"/>
    <m/>
    <x v="0"/>
    <m/>
    <x v="0"/>
  </r>
  <r>
    <x v="2"/>
    <x v="0"/>
    <x v="10"/>
    <x v="0"/>
    <s v="Ben Abdessamad Hassen"/>
    <s v="N26-0001/40"/>
    <x v="0"/>
    <n v="18"/>
    <n v="0"/>
    <m/>
    <x v="0"/>
    <x v="0"/>
    <m/>
    <x v="0"/>
    <m/>
    <x v="0"/>
  </r>
  <r>
    <x v="2"/>
    <x v="0"/>
    <x v="10"/>
    <x v="0"/>
    <s v="Ben Abdessamad Hassen"/>
    <s v="N26-0025/1"/>
    <x v="0"/>
    <n v="9"/>
    <n v="0"/>
    <m/>
    <x v="0"/>
    <x v="0"/>
    <m/>
    <x v="0"/>
    <m/>
    <x v="0"/>
  </r>
  <r>
    <x v="2"/>
    <x v="0"/>
    <x v="10"/>
    <x v="0"/>
    <s v="Ben Abdessamad Hassen"/>
    <s v="N26-0001/20"/>
    <x v="0"/>
    <n v="20"/>
    <n v="0"/>
    <m/>
    <x v="0"/>
    <x v="0"/>
    <m/>
    <x v="0"/>
    <m/>
    <x v="0"/>
  </r>
  <r>
    <x v="2"/>
    <x v="0"/>
    <x v="10"/>
    <x v="0"/>
    <s v="Ben Abdessamad Hassen"/>
    <s v="N26-0027/1"/>
    <x v="0"/>
    <n v="8"/>
    <n v="0"/>
    <m/>
    <x v="0"/>
    <x v="0"/>
    <m/>
    <x v="0"/>
    <m/>
    <x v="0"/>
  </r>
  <r>
    <x v="2"/>
    <x v="0"/>
    <x v="10"/>
    <x v="0"/>
    <s v="Ben Abdessamad Hassen"/>
    <s v="N26-0001/17"/>
    <x v="1"/>
    <n v="4"/>
    <n v="1"/>
    <s v="P3"/>
    <x v="3"/>
    <x v="1"/>
    <n v="251673"/>
    <x v="1"/>
    <m/>
    <x v="3"/>
  </r>
  <r>
    <x v="2"/>
    <x v="0"/>
    <x v="10"/>
    <x v="0"/>
    <s v="Ben Abdessamad Hassen"/>
    <s v="N26-0006/1"/>
    <x v="1"/>
    <n v="2"/>
    <n v="0"/>
    <m/>
    <x v="0"/>
    <x v="0"/>
    <m/>
    <x v="0"/>
    <m/>
    <x v="0"/>
  </r>
  <r>
    <x v="2"/>
    <x v="0"/>
    <x v="10"/>
    <x v="0"/>
    <s v="Ben Abdessamad Hassen"/>
    <s v="N26-0005/1"/>
    <x v="1"/>
    <n v="1"/>
    <n v="0"/>
    <m/>
    <x v="0"/>
    <x v="0"/>
    <m/>
    <x v="0"/>
    <m/>
    <x v="0"/>
  </r>
  <r>
    <x v="2"/>
    <x v="0"/>
    <x v="10"/>
    <x v="0"/>
    <s v="HALIM"/>
    <s v="N25-0002/2"/>
    <x v="1"/>
    <n v="5"/>
    <n v="1"/>
    <s v="P1"/>
    <x v="1"/>
    <x v="1"/>
    <n v="251674"/>
    <x v="1"/>
    <s v="poche vérin serré"/>
    <x v="1"/>
  </r>
  <r>
    <x v="2"/>
    <x v="0"/>
    <x v="10"/>
    <x v="0"/>
    <s v="HALIM"/>
    <s v="N25-0014/1"/>
    <x v="0"/>
    <n v="6"/>
    <n v="1"/>
    <s v="S1"/>
    <x v="2"/>
    <x v="21"/>
    <n v="251675"/>
    <x v="3"/>
    <s v="qts *2"/>
    <x v="2"/>
  </r>
  <r>
    <x v="2"/>
    <x v="0"/>
    <x v="10"/>
    <x v="0"/>
    <s v="HALIM"/>
    <s v="N25-0014/2"/>
    <x v="0"/>
    <n v="7"/>
    <n v="0"/>
    <m/>
    <x v="0"/>
    <x v="0"/>
    <m/>
    <x v="0"/>
    <m/>
    <x v="0"/>
  </r>
  <r>
    <x v="2"/>
    <x v="0"/>
    <x v="10"/>
    <x v="0"/>
    <s v="HALIM"/>
    <s v="N25-0015/6"/>
    <x v="0"/>
    <n v="8"/>
    <n v="1"/>
    <s v="P1"/>
    <x v="1"/>
    <x v="37"/>
    <n v="251676"/>
    <x v="2"/>
    <s v="Piéce non conforme au plan 2 D"/>
    <x v="1"/>
  </r>
  <r>
    <x v="2"/>
    <x v="0"/>
    <x v="10"/>
    <x v="0"/>
    <s v="HALIM"/>
    <s v="N25-0028/3"/>
    <x v="1"/>
    <n v="3"/>
    <n v="0"/>
    <m/>
    <x v="0"/>
    <x v="0"/>
    <m/>
    <x v="0"/>
    <m/>
    <x v="0"/>
  </r>
  <r>
    <x v="1"/>
    <x v="0"/>
    <x v="9"/>
    <x v="1"/>
    <s v="Ammari Slim"/>
    <s v="N26-0006/01"/>
    <x v="1"/>
    <m/>
    <n v="1"/>
    <s v="B1"/>
    <x v="6"/>
    <x v="38"/>
    <n v="202302617"/>
    <x v="2"/>
    <s v="goupille cuivre non conforme"/>
    <x v="1"/>
  </r>
  <r>
    <x v="1"/>
    <x v="0"/>
    <x v="9"/>
    <x v="1"/>
    <s v="Ammari Slim"/>
    <s v="N26-0003/03"/>
    <x v="1"/>
    <m/>
    <n v="1"/>
    <s v="Bague"/>
    <x v="4"/>
    <x v="24"/>
    <n v="202302618"/>
    <x v="2"/>
    <s v="bague"/>
    <x v="4"/>
  </r>
  <r>
    <x v="1"/>
    <x v="0"/>
    <x v="9"/>
    <x v="1"/>
    <s v="Ammari Slim"/>
    <s v="N25-0293/19"/>
    <x v="0"/>
    <m/>
    <n v="1"/>
    <s v="Shtift"/>
    <x v="4"/>
    <x v="24"/>
    <n v="202302619"/>
    <x v="4"/>
    <s v="shtift"/>
    <x v="4"/>
  </r>
  <r>
    <x v="1"/>
    <x v="0"/>
    <x v="9"/>
    <x v="1"/>
    <s v="Ammari Slim"/>
    <s v="N26-0025/02"/>
    <x v="1"/>
    <m/>
    <n v="1"/>
    <s v="B2 "/>
    <x v="3"/>
    <x v="32"/>
    <n v="202302620"/>
    <x v="2"/>
    <s v="Refaire B2"/>
    <x v="3"/>
  </r>
  <r>
    <x v="1"/>
    <x v="0"/>
    <x v="9"/>
    <x v="1"/>
    <s v="Ammari Slim"/>
    <s v="N26-0005/01"/>
    <x v="1"/>
    <m/>
    <n v="1"/>
    <s v="B1"/>
    <x v="4"/>
    <x v="4"/>
    <n v="202302621"/>
    <x v="2"/>
    <s v="Refaire B1"/>
    <x v="1"/>
  </r>
  <r>
    <x v="1"/>
    <x v="0"/>
    <x v="9"/>
    <x v="1"/>
    <s v="Ammari Slim"/>
    <s v="N26-0020/2"/>
    <x v="1"/>
    <m/>
    <n v="1"/>
    <s v="Bague"/>
    <x v="4"/>
    <x v="24"/>
    <n v="202302622"/>
    <x v="2"/>
    <s v="Bague2"/>
    <x v="4"/>
  </r>
  <r>
    <x v="2"/>
    <x v="0"/>
    <x v="10"/>
    <x v="1"/>
    <s v="Ammari Slim"/>
    <s v="N26-0284/07"/>
    <x v="1"/>
    <m/>
    <n v="1"/>
    <m/>
    <x v="3"/>
    <x v="39"/>
    <n v="202302623"/>
    <x v="1"/>
    <s v="modif sur P1"/>
    <x v="3"/>
  </r>
  <r>
    <x v="2"/>
    <x v="0"/>
    <x v="10"/>
    <x v="1"/>
    <s v="Ammari Slim"/>
    <s v="N26-0015/06"/>
    <x v="0"/>
    <m/>
    <n v="1"/>
    <m/>
    <x v="1"/>
    <x v="37"/>
    <n v="202302624"/>
    <x v="2"/>
    <s v="refaire P1"/>
    <x v="1"/>
  </r>
  <r>
    <x v="2"/>
    <x v="0"/>
    <x v="11"/>
    <x v="1"/>
    <s v="Ammari Slim"/>
    <s v="N26-0289/2"/>
    <x v="1"/>
    <m/>
    <n v="1"/>
    <s v="P2"/>
    <x v="3"/>
    <x v="2"/>
    <n v="202302625"/>
    <x v="1"/>
    <s v="modif  P2 (couvercle  manque  emplacement tète vis)"/>
    <x v="3"/>
  </r>
  <r>
    <x v="2"/>
    <x v="0"/>
    <x v="11"/>
    <x v="1"/>
    <s v="Ammari Slim"/>
    <s v="N26-0002/2"/>
    <x v="1"/>
    <m/>
    <n v="1"/>
    <s v="N1"/>
    <x v="1"/>
    <x v="8"/>
    <n v="202302626"/>
    <x v="2"/>
    <s v="N1 à refaire"/>
    <x v="1"/>
  </r>
  <r>
    <x v="2"/>
    <x v="0"/>
    <x v="11"/>
    <x v="1"/>
    <s v="Ammari Slim"/>
    <s v="N26-0006/01"/>
    <x v="1"/>
    <m/>
    <n v="1"/>
    <s v="B2 "/>
    <x v="3"/>
    <x v="38"/>
    <n v="202302627"/>
    <x v="2"/>
    <s v="Refaire B2"/>
    <x v="3"/>
  </r>
  <r>
    <x v="2"/>
    <x v="0"/>
    <x v="11"/>
    <x v="0"/>
    <s v="Ben Abdessamad Hassen"/>
    <s v="N25-0289/2"/>
    <x v="1"/>
    <n v="7"/>
    <n v="0"/>
    <m/>
    <x v="0"/>
    <x v="0"/>
    <m/>
    <x v="0"/>
    <m/>
    <x v="0"/>
  </r>
  <r>
    <x v="2"/>
    <x v="0"/>
    <x v="11"/>
    <x v="0"/>
    <s v="Ben Abdessamad Hassen"/>
    <s v="N25-0310/9"/>
    <x v="0"/>
    <n v="6"/>
    <n v="1"/>
    <s v="N1"/>
    <x v="4"/>
    <x v="4"/>
    <n v="251677"/>
    <x v="2"/>
    <s v="refaire N1"/>
    <x v="1"/>
  </r>
  <r>
    <x v="2"/>
    <x v="0"/>
    <x v="12"/>
    <x v="0"/>
    <s v="Ben Abdessamad Hassen"/>
    <s v="N25-0287/37"/>
    <x v="0"/>
    <n v="12"/>
    <n v="0"/>
    <m/>
    <x v="0"/>
    <x v="0"/>
    <m/>
    <x v="0"/>
    <m/>
    <x v="0"/>
  </r>
  <r>
    <x v="2"/>
    <x v="0"/>
    <x v="12"/>
    <x v="0"/>
    <s v="Ben Abdessamad Hassen"/>
    <s v="N26-0001/30"/>
    <x v="0"/>
    <n v="18"/>
    <n v="0"/>
    <m/>
    <x v="0"/>
    <x v="0"/>
    <m/>
    <x v="0"/>
    <m/>
    <x v="0"/>
  </r>
  <r>
    <x v="2"/>
    <x v="0"/>
    <x v="12"/>
    <x v="0"/>
    <s v="Ben Abdessamad Hassen"/>
    <s v="N26-0001/14"/>
    <x v="0"/>
    <n v="56"/>
    <n v="1"/>
    <s v="N1"/>
    <x v="3"/>
    <x v="34"/>
    <n v="251678"/>
    <x v="1"/>
    <s v="Manque alésoire 3"/>
    <x v="1"/>
  </r>
  <r>
    <x v="2"/>
    <x v="0"/>
    <x v="12"/>
    <x v="0"/>
    <s v="Ben Abdessamad Hassen"/>
    <s v="N26-0015/3"/>
    <x v="0"/>
    <n v="12"/>
    <n v="0"/>
    <m/>
    <x v="0"/>
    <x v="0"/>
    <m/>
    <x v="0"/>
    <m/>
    <x v="0"/>
  </r>
  <r>
    <x v="2"/>
    <x v="0"/>
    <x v="12"/>
    <x v="0"/>
    <s v="Ben Abdessamad Hassen"/>
    <s v="N25-0287/30"/>
    <x v="1"/>
    <n v="3"/>
    <n v="0"/>
    <m/>
    <x v="0"/>
    <x v="0"/>
    <m/>
    <x v="0"/>
    <m/>
    <x v="0"/>
  </r>
  <r>
    <x v="2"/>
    <x v="0"/>
    <x v="12"/>
    <x v="0"/>
    <s v="HALIM"/>
    <s v="N25-0001/38"/>
    <x v="0"/>
    <n v="8"/>
    <n v="0"/>
    <m/>
    <x v="0"/>
    <x v="0"/>
    <m/>
    <x v="0"/>
    <m/>
    <x v="0"/>
  </r>
  <r>
    <x v="2"/>
    <x v="0"/>
    <x v="12"/>
    <x v="0"/>
    <s v="HALIM"/>
    <s v="N25-0018/14"/>
    <x v="0"/>
    <n v="22"/>
    <n v="1"/>
    <s v="N1"/>
    <x v="2"/>
    <x v="2"/>
    <n v="251680"/>
    <x v="1"/>
    <s v="mnq lamage de fixation"/>
    <x v="2"/>
  </r>
  <r>
    <x v="2"/>
    <x v="0"/>
    <x v="12"/>
    <x v="0"/>
    <s v="HALIM"/>
    <s v="N25-0296/6"/>
    <x v="1"/>
    <n v="2"/>
    <n v="0"/>
    <m/>
    <x v="0"/>
    <x v="0"/>
    <m/>
    <x v="0"/>
    <m/>
    <x v="0"/>
  </r>
  <r>
    <x v="2"/>
    <x v="0"/>
    <x v="12"/>
    <x v="0"/>
    <s v="HALIM"/>
    <s v="N25-0304/1"/>
    <x v="1"/>
    <n v="5"/>
    <n v="1"/>
    <s v="N1"/>
    <x v="2"/>
    <x v="5"/>
    <n v="251681"/>
    <x v="1"/>
    <s v="Prof lamage incorrecte 12,2 au lieu de 13,2"/>
    <x v="2"/>
  </r>
  <r>
    <x v="2"/>
    <x v="0"/>
    <x v="12"/>
    <x v="0"/>
    <s v="HALIM"/>
    <s v="N25-0287/30"/>
    <x v="1"/>
    <n v="1"/>
    <n v="1"/>
    <s v="P1"/>
    <x v="3"/>
    <x v="2"/>
    <n v="251682"/>
    <x v="1"/>
    <s v="cao non conforme"/>
    <x v="3"/>
  </r>
  <r>
    <x v="2"/>
    <x v="0"/>
    <x v="12"/>
    <x v="0"/>
    <s v="Ben Abdessamad Hassen"/>
    <s v="N25-0295/1"/>
    <x v="0"/>
    <n v="7"/>
    <n v="0"/>
    <m/>
    <x v="0"/>
    <x v="0"/>
    <m/>
    <x v="0"/>
    <m/>
    <x v="0"/>
  </r>
  <r>
    <x v="2"/>
    <x v="0"/>
    <x v="12"/>
    <x v="1"/>
    <s v="Ammari Slim"/>
    <s v="N26-0014/2"/>
    <x v="0"/>
    <m/>
    <n v="1"/>
    <s v="S1"/>
    <x v="1"/>
    <x v="3"/>
    <n v="202302628"/>
    <x v="1"/>
    <s v="refaire S1"/>
    <x v="1"/>
  </r>
  <r>
    <x v="2"/>
    <x v="0"/>
    <x v="12"/>
    <x v="1"/>
    <s v="Ammari Slim"/>
    <s v="N26-0001/14"/>
    <x v="0"/>
    <m/>
    <n v="1"/>
    <s v="N1"/>
    <x v="1"/>
    <x v="10"/>
    <n v="202302629"/>
    <x v="1"/>
    <s v="N1 à refaire"/>
    <x v="1"/>
  </r>
  <r>
    <x v="2"/>
    <x v="0"/>
    <x v="13"/>
    <x v="0"/>
    <s v="Ben Abdessamad Hassen"/>
    <s v="N25-0295/1"/>
    <x v="0"/>
    <n v="3"/>
    <n v="0"/>
    <m/>
    <x v="0"/>
    <x v="0"/>
    <m/>
    <x v="0"/>
    <m/>
    <x v="0"/>
  </r>
  <r>
    <x v="2"/>
    <x v="0"/>
    <x v="13"/>
    <x v="0"/>
    <s v="Ben Abdessamad Hassen"/>
    <s v="N25-0296/4"/>
    <x v="0"/>
    <n v="4"/>
    <n v="0"/>
    <m/>
    <x v="0"/>
    <x v="0"/>
    <m/>
    <x v="0"/>
    <m/>
    <x v="0"/>
  </r>
  <r>
    <x v="2"/>
    <x v="0"/>
    <x v="13"/>
    <x v="0"/>
    <s v="Ben Abdessamad Hassen"/>
    <s v="N25-0296/3"/>
    <x v="0"/>
    <n v="15"/>
    <n v="0"/>
    <m/>
    <x v="0"/>
    <x v="0"/>
    <m/>
    <x v="0"/>
    <m/>
    <x v="0"/>
  </r>
  <r>
    <x v="2"/>
    <x v="0"/>
    <x v="13"/>
    <x v="0"/>
    <s v="Ben Abdessamad Hassen"/>
    <s v="N26-0005/1"/>
    <x v="0"/>
    <n v="4"/>
    <n v="0"/>
    <m/>
    <x v="0"/>
    <x v="0"/>
    <m/>
    <x v="0"/>
    <m/>
    <x v="0"/>
  </r>
  <r>
    <x v="2"/>
    <x v="0"/>
    <x v="13"/>
    <x v="0"/>
    <s v="Ben Abdessamad Hassen"/>
    <s v="N25-0309/9"/>
    <x v="1"/>
    <n v="7"/>
    <n v="0"/>
    <m/>
    <x v="0"/>
    <x v="0"/>
    <m/>
    <x v="0"/>
    <m/>
    <x v="0"/>
  </r>
  <r>
    <x v="2"/>
    <x v="0"/>
    <x v="13"/>
    <x v="0"/>
    <s v="Ben Abdessamad Hassen"/>
    <s v="N26-0018/2"/>
    <x v="0"/>
    <n v="8"/>
    <n v="0"/>
    <m/>
    <x v="0"/>
    <x v="0"/>
    <m/>
    <x v="0"/>
    <m/>
    <x v="0"/>
  </r>
  <r>
    <x v="2"/>
    <x v="0"/>
    <x v="13"/>
    <x v="0"/>
    <s v="Ben Abdessamad Hassen"/>
    <s v="N26-0001/21"/>
    <x v="0"/>
    <n v="24"/>
    <n v="0"/>
    <m/>
    <x v="0"/>
    <x v="0"/>
    <m/>
    <x v="0"/>
    <m/>
    <x v="0"/>
  </r>
  <r>
    <x v="2"/>
    <x v="0"/>
    <x v="13"/>
    <x v="0"/>
    <s v="Ben Abdessamad Hassen"/>
    <s v="N25-0309/8"/>
    <x v="1"/>
    <n v="7"/>
    <n v="1"/>
    <s v="P1"/>
    <x v="2"/>
    <x v="2"/>
    <n v="251683"/>
    <x v="1"/>
    <s v="Mnq poche Xcode"/>
    <x v="2"/>
  </r>
  <r>
    <x v="2"/>
    <x v="0"/>
    <x v="13"/>
    <x v="0"/>
    <s v="Ben Abdessamad Hassen"/>
    <s v="N26-0001/35"/>
    <x v="1"/>
    <n v="3"/>
    <n v="0"/>
    <m/>
    <x v="0"/>
    <x v="0"/>
    <m/>
    <x v="0"/>
    <m/>
    <x v="0"/>
  </r>
  <r>
    <x v="2"/>
    <x v="0"/>
    <x v="13"/>
    <x v="0"/>
    <s v="HALIM"/>
    <s v="N25-0304/1"/>
    <x v="0"/>
    <n v="12"/>
    <n v="1"/>
    <m/>
    <x v="0"/>
    <x v="0"/>
    <m/>
    <x v="0"/>
    <m/>
    <x v="0"/>
  </r>
  <r>
    <x v="2"/>
    <x v="0"/>
    <x v="13"/>
    <x v="0"/>
    <s v="HALIM"/>
    <s v="N25-0289/19"/>
    <x v="1"/>
    <n v="1"/>
    <n v="1"/>
    <s v="B3"/>
    <x v="2"/>
    <x v="4"/>
    <n v="251684"/>
    <x v="2"/>
    <s v="Prog incorrecte (gamme)"/>
    <x v="2"/>
  </r>
  <r>
    <x v="2"/>
    <x v="0"/>
    <x v="13"/>
    <x v="0"/>
    <s v="HALIM"/>
    <s v="N25-0309/5"/>
    <x v="0"/>
    <n v="42"/>
    <n v="0"/>
    <m/>
    <x v="0"/>
    <x v="0"/>
    <m/>
    <x v="0"/>
    <m/>
    <x v="0"/>
  </r>
  <r>
    <x v="2"/>
    <x v="0"/>
    <x v="13"/>
    <x v="0"/>
    <s v="HALIM"/>
    <s v="N25-9999/8"/>
    <x v="1"/>
    <n v="1"/>
    <n v="0"/>
    <m/>
    <x v="0"/>
    <x v="0"/>
    <m/>
    <x v="0"/>
    <m/>
    <x v="0"/>
  </r>
  <r>
    <x v="2"/>
    <x v="0"/>
    <x v="13"/>
    <x v="0"/>
    <s v="HALIM"/>
    <s v="N25-0029/1"/>
    <x v="1"/>
    <n v="9"/>
    <n v="1"/>
    <s v="P2"/>
    <x v="3"/>
    <x v="5"/>
    <n v="251685"/>
    <x v="2"/>
    <s v="Prof poche douille incorrecte"/>
    <x v="3"/>
  </r>
  <r>
    <x v="2"/>
    <x v="0"/>
    <x v="13"/>
    <x v="1"/>
    <s v="Ammari Slim"/>
    <s v="N26-0309/18"/>
    <x v="1"/>
    <m/>
    <n v="1"/>
    <m/>
    <x v="3"/>
    <x v="2"/>
    <n v="202302631"/>
    <x v="1"/>
    <s v="modif sur pièces"/>
    <x v="3"/>
  </r>
  <r>
    <x v="2"/>
    <x v="0"/>
    <x v="13"/>
    <x v="1"/>
    <s v="Ammari Slim"/>
    <s v="N26-0309/09"/>
    <x v="1"/>
    <m/>
    <n v="1"/>
    <s v="P3+P1"/>
    <x v="3"/>
    <x v="38"/>
    <n v="202302633"/>
    <x v="2"/>
    <s v="refaire P1+P3"/>
    <x v="3"/>
  </r>
  <r>
    <x v="2"/>
    <x v="0"/>
    <x v="13"/>
    <x v="1"/>
    <s v="Ammari Slim"/>
    <s v="N26-0001/17"/>
    <x v="1"/>
    <m/>
    <n v="1"/>
    <s v="P3"/>
    <x v="3"/>
    <x v="3"/>
    <n v="202302634"/>
    <x v="1"/>
    <s v="modif sur P3"/>
    <x v="3"/>
  </r>
  <r>
    <x v="2"/>
    <x v="0"/>
    <x v="13"/>
    <x v="1"/>
    <s v="Ammari Slim"/>
    <s v="N25-0293/27"/>
    <x v="1"/>
    <m/>
    <n v="1"/>
    <s v="B2 "/>
    <x v="3"/>
    <x v="39"/>
    <n v="202302635"/>
    <x v="2"/>
    <s v="refaire B2"/>
    <x v="3"/>
  </r>
  <r>
    <x v="2"/>
    <x v="0"/>
    <x v="14"/>
    <x v="2"/>
    <s v="Ammari Slim"/>
    <s v="N25-0304/03"/>
    <x v="1"/>
    <m/>
    <n v="1"/>
    <m/>
    <x v="10"/>
    <x v="40"/>
    <n v="202302636"/>
    <x v="1"/>
    <s v="vérifier étamage des pins"/>
    <x v="4"/>
  </r>
  <r>
    <x v="2"/>
    <x v="0"/>
    <x v="14"/>
    <x v="1"/>
    <s v="Ammari Slim"/>
    <s v="N25-0288/90"/>
    <x v="1"/>
    <m/>
    <n v="1"/>
    <s v="N1"/>
    <x v="3"/>
    <x v="39"/>
    <n v="202302637"/>
    <x v="2"/>
    <s v="refaire N1"/>
    <x v="3"/>
  </r>
  <r>
    <x v="2"/>
    <x v="0"/>
    <x v="14"/>
    <x v="2"/>
    <s v="Ammari Slim"/>
    <s v="N25-0001/21"/>
    <x v="0"/>
    <m/>
    <n v="1"/>
    <s v="B1+B2"/>
    <x v="3"/>
    <x v="1"/>
    <n v="202302638"/>
    <x v="1"/>
    <s v="Modif B1+B2"/>
    <x v="3"/>
  </r>
  <r>
    <x v="2"/>
    <x v="0"/>
    <x v="14"/>
    <x v="1"/>
    <s v="Ammari Slim"/>
    <s v="N26-0018/06"/>
    <x v="1"/>
    <m/>
    <n v="1"/>
    <s v="N1"/>
    <x v="3"/>
    <x v="39"/>
    <n v="202302639"/>
    <x v="1"/>
    <s v="Modif sur N1"/>
    <x v="3"/>
  </r>
  <r>
    <x v="2"/>
    <x v="0"/>
    <x v="14"/>
    <x v="0"/>
    <s v="Ben Abdessamad Hassen"/>
    <s v="N26-0028/3"/>
    <x v="0"/>
    <n v="3"/>
    <n v="0"/>
    <m/>
    <x v="0"/>
    <x v="0"/>
    <m/>
    <x v="0"/>
    <m/>
    <x v="0"/>
  </r>
  <r>
    <x v="2"/>
    <x v="0"/>
    <x v="14"/>
    <x v="0"/>
    <s v="Ben Abdessamad Hassen"/>
    <s v="N26-0023/4"/>
    <x v="0"/>
    <n v="3"/>
    <n v="0"/>
    <m/>
    <x v="0"/>
    <x v="0"/>
    <m/>
    <x v="0"/>
    <m/>
    <x v="0"/>
  </r>
  <r>
    <x v="2"/>
    <x v="0"/>
    <x v="14"/>
    <x v="0"/>
    <s v="Ben Abdessamad Hassen"/>
    <s v="N25-0309/1"/>
    <x v="0"/>
    <n v="18"/>
    <n v="1"/>
    <s v="B1"/>
    <x v="2"/>
    <x v="1"/>
    <n v="251686"/>
    <x v="2"/>
    <s v="refair B1"/>
    <x v="2"/>
  </r>
  <r>
    <x v="2"/>
    <x v="0"/>
    <x v="14"/>
    <x v="0"/>
    <s v="Ben Abdessamad Hassen"/>
    <s v="N25-0309/1"/>
    <x v="0"/>
    <m/>
    <n v="1"/>
    <s v="P1"/>
    <x v="1"/>
    <x v="13"/>
    <n v="251687"/>
    <x v="1"/>
    <s v="Pérçage zonzor"/>
    <x v="1"/>
  </r>
  <r>
    <x v="2"/>
    <x v="0"/>
    <x v="14"/>
    <x v="0"/>
    <s v="Ben Abdessamad Hassen"/>
    <s v="N26-0003/3"/>
    <x v="1"/>
    <n v="4"/>
    <n v="0"/>
    <m/>
    <x v="0"/>
    <x v="0"/>
    <m/>
    <x v="0"/>
    <m/>
    <x v="0"/>
  </r>
  <r>
    <x v="2"/>
    <x v="0"/>
    <x v="14"/>
    <x v="0"/>
    <s v="Ben Abdessamad Hassen"/>
    <s v="N25-0309/8"/>
    <x v="0"/>
    <n v="56"/>
    <n v="0"/>
    <m/>
    <x v="0"/>
    <x v="0"/>
    <m/>
    <x v="0"/>
    <m/>
    <x v="0"/>
  </r>
  <r>
    <x v="2"/>
    <x v="0"/>
    <x v="14"/>
    <x v="0"/>
    <s v="Ben Abdessamad Hassen"/>
    <s v="N26-0028/4"/>
    <x v="1"/>
    <n v="4"/>
    <n v="1"/>
    <s v="B2 "/>
    <x v="4"/>
    <x v="4"/>
    <n v="251688"/>
    <x v="2"/>
    <m/>
    <x v="1"/>
  </r>
  <r>
    <x v="2"/>
    <x v="0"/>
    <x v="14"/>
    <x v="0"/>
    <s v="Ben Abdessamad Hassen"/>
    <s v="N25-0289/19"/>
    <x v="1"/>
    <n v="6"/>
    <n v="1"/>
    <s v="B1+B2"/>
    <x v="3"/>
    <x v="7"/>
    <n v="251689"/>
    <x v="1"/>
    <m/>
    <x v="3"/>
  </r>
  <r>
    <x v="2"/>
    <x v="0"/>
    <x v="14"/>
    <x v="0"/>
    <s v="Ben Abdessamad Hassen"/>
    <s v="N25-0289/19"/>
    <x v="1"/>
    <m/>
    <n v="1"/>
    <s v="P2"/>
    <x v="6"/>
    <x v="41"/>
    <n v="251690"/>
    <x v="1"/>
    <s v="Mnq chenfrein"/>
    <x v="1"/>
  </r>
  <r>
    <x v="2"/>
    <x v="0"/>
    <x v="14"/>
    <x v="0"/>
    <s v="Ben Abdessamad Hassen"/>
    <s v="N25-0309/3"/>
    <x v="1"/>
    <n v="5"/>
    <n v="1"/>
    <s v="P1"/>
    <x v="6"/>
    <x v="1"/>
    <n v="251691"/>
    <x v="1"/>
    <s v="Poche pour axe 8"/>
    <x v="1"/>
  </r>
  <r>
    <x v="2"/>
    <x v="0"/>
    <x v="14"/>
    <x v="0"/>
    <s v="Ben Abdessamad Hassen"/>
    <s v="N26-0018/6"/>
    <x v="1"/>
    <n v="3"/>
    <n v="0"/>
    <m/>
    <x v="0"/>
    <x v="0"/>
    <m/>
    <x v="0"/>
    <m/>
    <x v="0"/>
  </r>
  <r>
    <x v="2"/>
    <x v="0"/>
    <x v="14"/>
    <x v="0"/>
    <s v="Ben Abdessamad Hassen"/>
    <s v="N26-0011/1"/>
    <x v="1"/>
    <n v="7"/>
    <n v="0"/>
    <m/>
    <x v="0"/>
    <x v="0"/>
    <m/>
    <x v="0"/>
    <m/>
    <x v="0"/>
  </r>
  <r>
    <x v="2"/>
    <x v="0"/>
    <x v="14"/>
    <x v="0"/>
    <s v="HALIM"/>
    <s v="N25-0006/1"/>
    <x v="0"/>
    <n v="5"/>
    <n v="0"/>
    <m/>
    <x v="0"/>
    <x v="0"/>
    <m/>
    <x v="0"/>
    <m/>
    <x v="0"/>
  </r>
  <r>
    <x v="2"/>
    <x v="0"/>
    <x v="14"/>
    <x v="0"/>
    <s v="HALIM"/>
    <s v="N25-0019/4"/>
    <x v="1"/>
    <n v="10"/>
    <n v="0"/>
    <m/>
    <x v="0"/>
    <x v="0"/>
    <m/>
    <x v="0"/>
    <m/>
    <x v="0"/>
  </r>
  <r>
    <x v="2"/>
    <x v="0"/>
    <x v="14"/>
    <x v="0"/>
    <s v="HALIM"/>
    <s v="N25-0016/7"/>
    <x v="1"/>
    <n v="6"/>
    <n v="1"/>
    <s v="P1"/>
    <x v="2"/>
    <x v="41"/>
    <n v="251692"/>
    <x v="1"/>
    <s v="prog incorrecte "/>
    <x v="2"/>
  </r>
  <r>
    <x v="2"/>
    <x v="0"/>
    <x v="14"/>
    <x v="0"/>
    <s v="HALIM"/>
    <s v="N25-0024/1"/>
    <x v="1"/>
    <n v="3"/>
    <n v="0"/>
    <m/>
    <x v="0"/>
    <x v="0"/>
    <m/>
    <x v="0"/>
    <m/>
    <x v="0"/>
  </r>
  <r>
    <x v="2"/>
    <x v="0"/>
    <x v="14"/>
    <x v="0"/>
    <s v="HALIM"/>
    <s v="N25-0296/6"/>
    <x v="0"/>
    <n v="6"/>
    <n v="0"/>
    <m/>
    <x v="0"/>
    <x v="0"/>
    <m/>
    <x v="0"/>
    <m/>
    <x v="0"/>
  </r>
  <r>
    <x v="2"/>
    <x v="0"/>
    <x v="14"/>
    <x v="0"/>
    <s v="HALIM"/>
    <s v="N25-0029/10"/>
    <x v="1"/>
    <n v="9"/>
    <n v="0"/>
    <m/>
    <x v="0"/>
    <x v="0"/>
    <m/>
    <x v="0"/>
    <m/>
    <x v="0"/>
  </r>
  <r>
    <x v="2"/>
    <x v="0"/>
    <x v="14"/>
    <x v="0"/>
    <s v="HALIM"/>
    <s v="N25-0018/7"/>
    <x v="1"/>
    <n v="3"/>
    <n v="0"/>
    <m/>
    <x v="0"/>
    <x v="0"/>
    <m/>
    <x v="0"/>
    <m/>
    <x v="0"/>
  </r>
  <r>
    <x v="3"/>
    <x v="0"/>
    <x v="15"/>
    <x v="0"/>
    <s v="HALIM"/>
    <s v="N25-0309/9"/>
    <x v="0"/>
    <n v="42"/>
    <n v="1"/>
    <s v="P1"/>
    <x v="1"/>
    <x v="5"/>
    <n v="251693"/>
    <x v="1"/>
    <s v="Prof lamage incorrecte 6,7 au lieu de 8,2"/>
    <x v="1"/>
  </r>
  <r>
    <x v="3"/>
    <x v="0"/>
    <x v="15"/>
    <x v="0"/>
    <s v="HALIM"/>
    <s v="N25-0001/35"/>
    <x v="0"/>
    <n v="36"/>
    <n v="1"/>
    <s v="N1"/>
    <x v="1"/>
    <x v="42"/>
    <n v="251694"/>
    <x v="2"/>
    <s v="Surfaçage non conforme"/>
    <x v="1"/>
  </r>
  <r>
    <x v="3"/>
    <x v="0"/>
    <x v="15"/>
    <x v="0"/>
    <s v="HALIM"/>
    <s v="N25-0006/3"/>
    <x v="1"/>
    <n v="3"/>
    <n v="0"/>
    <m/>
    <x v="0"/>
    <x v="0"/>
    <m/>
    <x v="0"/>
    <m/>
    <x v="0"/>
  </r>
  <r>
    <x v="3"/>
    <x v="0"/>
    <x v="15"/>
    <x v="0"/>
    <s v="HALIM"/>
    <s v="N25-0001/3"/>
    <x v="0"/>
    <n v="60"/>
    <n v="0"/>
    <m/>
    <x v="0"/>
    <x v="0"/>
    <m/>
    <x v="0"/>
    <m/>
    <x v="0"/>
  </r>
  <r>
    <x v="3"/>
    <x v="0"/>
    <x v="15"/>
    <x v="0"/>
    <s v="HALIM"/>
    <s v="N25-0016/3"/>
    <x v="0"/>
    <n v="1"/>
    <n v="1"/>
    <s v="N1"/>
    <x v="4"/>
    <x v="43"/>
    <n v="251695"/>
    <x v="3"/>
    <s v="matiére perdu"/>
    <x v="1"/>
  </r>
  <r>
    <x v="3"/>
    <x v="0"/>
    <x v="15"/>
    <x v="0"/>
    <s v="HALIM"/>
    <s v="N25-0029/7"/>
    <x v="1"/>
    <n v="3"/>
    <n v="1"/>
    <s v="P1"/>
    <x v="3"/>
    <x v="7"/>
    <n v="251696"/>
    <x v="1"/>
    <s v="à vérifier CAO"/>
    <x v="3"/>
  </r>
  <r>
    <x v="3"/>
    <x v="0"/>
    <x v="15"/>
    <x v="0"/>
    <s v="HALIM"/>
    <s v="N25-0289/19"/>
    <x v="1"/>
    <n v="6"/>
    <n v="0"/>
    <m/>
    <x v="0"/>
    <x v="0"/>
    <m/>
    <x v="0"/>
    <m/>
    <x v="0"/>
  </r>
  <r>
    <x v="3"/>
    <x v="0"/>
    <x v="15"/>
    <x v="0"/>
    <s v="HALIM"/>
    <s v="N25-0002/3"/>
    <x v="1"/>
    <n v="1"/>
    <n v="1"/>
    <s v="B2 "/>
    <x v="2"/>
    <x v="41"/>
    <n v="251697"/>
    <x v="2"/>
    <s v="prog incorrecte"/>
    <x v="2"/>
  </r>
  <r>
    <x v="3"/>
    <x v="0"/>
    <x v="15"/>
    <x v="0"/>
    <s v="Ben Abdessamad Hassen"/>
    <s v="N26-0016/6"/>
    <x v="0"/>
    <n v="4"/>
    <n v="1"/>
    <s v="P1"/>
    <x v="1"/>
    <x v="1"/>
    <n v="251698"/>
    <x v="1"/>
    <s v="Poche vérin"/>
    <x v="1"/>
  </r>
  <r>
    <x v="3"/>
    <x v="0"/>
    <x v="15"/>
    <x v="0"/>
    <s v="Ben Abdessamad Hassen"/>
    <s v="N26-0016/6"/>
    <x v="0"/>
    <m/>
    <n v="1"/>
    <s v="N1"/>
    <x v="1"/>
    <x v="13"/>
    <n v="251699"/>
    <x v="1"/>
    <s v="pérçage pour bagues diàmétre1 "/>
    <x v="1"/>
  </r>
  <r>
    <x v="3"/>
    <x v="0"/>
    <x v="15"/>
    <x v="0"/>
    <s v="Ben Abdessamad Hassen"/>
    <s v="N26-0016/1"/>
    <x v="0"/>
    <n v="5"/>
    <n v="0"/>
    <m/>
    <x v="0"/>
    <x v="0"/>
    <m/>
    <x v="0"/>
    <m/>
    <x v="0"/>
  </r>
  <r>
    <x v="3"/>
    <x v="0"/>
    <x v="15"/>
    <x v="0"/>
    <s v="Ben Abdessamad Hassen"/>
    <s v="N26-0016/5"/>
    <x v="0"/>
    <n v="4"/>
    <n v="1"/>
    <s v="P1"/>
    <x v="5"/>
    <x v="5"/>
    <n v="251700"/>
    <x v="1"/>
    <m/>
    <x v="1"/>
  </r>
  <r>
    <x v="3"/>
    <x v="0"/>
    <x v="15"/>
    <x v="0"/>
    <s v="Ben Abdessamad Hassen"/>
    <s v="N26-0018/19"/>
    <x v="0"/>
    <n v="12"/>
    <n v="1"/>
    <s v="N1"/>
    <x v="6"/>
    <x v="34"/>
    <n v="251701"/>
    <x v="1"/>
    <m/>
    <x v="1"/>
  </r>
  <r>
    <x v="3"/>
    <x v="0"/>
    <x v="15"/>
    <x v="0"/>
    <s v="Ben Abdessamad Hassen"/>
    <s v="N26-0015/2"/>
    <x v="1"/>
    <n v="5"/>
    <n v="1"/>
    <s v="P1"/>
    <x v="5"/>
    <x v="5"/>
    <n v="251702"/>
    <x v="1"/>
    <m/>
    <x v="1"/>
  </r>
  <r>
    <x v="3"/>
    <x v="0"/>
    <x v="15"/>
    <x v="0"/>
    <s v="Ben Abdessamad Hassen"/>
    <s v="N26-0018/22"/>
    <x v="0"/>
    <n v="24"/>
    <n v="1"/>
    <s v="N1"/>
    <x v="6"/>
    <x v="34"/>
    <n v="251703"/>
    <x v="1"/>
    <s v="Mnq alésoire4,65H7"/>
    <x v="1"/>
  </r>
  <r>
    <x v="3"/>
    <x v="0"/>
    <x v="15"/>
    <x v="0"/>
    <s v="Ben Abdessamad Hassen"/>
    <s v="N26-0019/23"/>
    <x v="1"/>
    <n v="5"/>
    <n v="0"/>
    <m/>
    <x v="0"/>
    <x v="0"/>
    <m/>
    <x v="0"/>
    <m/>
    <x v="0"/>
  </r>
  <r>
    <x v="3"/>
    <x v="0"/>
    <x v="15"/>
    <x v="1"/>
    <s v="Ammari Slim"/>
    <s v="N26-0016/07"/>
    <x v="1"/>
    <m/>
    <n v="1"/>
    <m/>
    <x v="3"/>
    <x v="1"/>
    <n v="202302640"/>
    <x v="1"/>
    <s v="modif sur P1+N1"/>
    <x v="3"/>
  </r>
  <r>
    <x v="3"/>
    <x v="0"/>
    <x v="15"/>
    <x v="1"/>
    <s v="Ammari Slim"/>
    <s v="N26-0016/07"/>
    <x v="1"/>
    <m/>
    <n v="1"/>
    <s v="B1"/>
    <x v="3"/>
    <x v="29"/>
    <n v="202302641"/>
    <x v="2"/>
    <s v="refaire B1"/>
    <x v="3"/>
  </r>
  <r>
    <x v="3"/>
    <x v="0"/>
    <x v="16"/>
    <x v="1"/>
    <s v="Ammari Slim"/>
    <s v="N26-0038/11"/>
    <x v="0"/>
    <m/>
    <n v="1"/>
    <s v="B1"/>
    <x v="1"/>
    <x v="29"/>
    <n v="202302642"/>
    <x v="2"/>
    <s v="refaire B1"/>
    <x v="1"/>
  </r>
  <r>
    <x v="3"/>
    <x v="0"/>
    <x v="16"/>
    <x v="1"/>
    <s v="Ammari Slim"/>
    <s v="N26-0024/01"/>
    <x v="1"/>
    <m/>
    <n v="1"/>
    <s v="B1+P1+P2"/>
    <x v="3"/>
    <x v="39"/>
    <n v="202302643"/>
    <x v="2"/>
    <s v="refaire B1+P1+P2"/>
    <x v="3"/>
  </r>
  <r>
    <x v="3"/>
    <x v="0"/>
    <x v="16"/>
    <x v="1"/>
    <s v="Ammari Slim"/>
    <s v="N26-0002/11"/>
    <x v="0"/>
    <m/>
    <n v="1"/>
    <s v="S1"/>
    <x v="1"/>
    <x v="28"/>
    <n v="202302643"/>
    <x v="1"/>
    <s v="modif sur S1"/>
    <x v="1"/>
  </r>
  <r>
    <x v="3"/>
    <x v="0"/>
    <x v="16"/>
    <x v="1"/>
    <s v="Ammari Slim"/>
    <s v="N26-0289/18"/>
    <x v="1"/>
    <m/>
    <n v="1"/>
    <s v="B1+B2"/>
    <x v="3"/>
    <x v="38"/>
    <n v="202302644"/>
    <x v="1"/>
    <s v="modif sur B1+B2(PB:insertion douille)"/>
    <x v="3"/>
  </r>
  <r>
    <x v="3"/>
    <x v="0"/>
    <x v="16"/>
    <x v="1"/>
    <s v="Ammari Slim"/>
    <s v="N26-0028/23"/>
    <x v="0"/>
    <m/>
    <n v="1"/>
    <m/>
    <x v="4"/>
    <x v="24"/>
    <n v="202302645"/>
    <x v="4"/>
    <s v="2 bagues+shtift"/>
    <x v="4"/>
  </r>
  <r>
    <x v="3"/>
    <x v="0"/>
    <x v="16"/>
    <x v="0"/>
    <s v="HALIM"/>
    <s v="N25-0006/2"/>
    <x v="1"/>
    <n v="3"/>
    <n v="1"/>
    <s v="P1"/>
    <x v="4"/>
    <x v="4"/>
    <n v="251704"/>
    <x v="3"/>
    <s v="Péce cassé"/>
    <x v="1"/>
  </r>
  <r>
    <x v="3"/>
    <x v="0"/>
    <x v="16"/>
    <x v="0"/>
    <s v="HALIM"/>
    <s v="N25-0038/54"/>
    <x v="0"/>
    <n v="6"/>
    <n v="1"/>
    <s v="N1"/>
    <x v="4"/>
    <x v="4"/>
    <n v="251705"/>
    <x v="3"/>
    <s v="Péce cassé"/>
    <x v="1"/>
  </r>
  <r>
    <x v="3"/>
    <x v="0"/>
    <x v="16"/>
    <x v="0"/>
    <s v="HALIM"/>
    <s v="N25-0038/58"/>
    <x v="0"/>
    <n v="6"/>
    <n v="0"/>
    <m/>
    <x v="0"/>
    <x v="0"/>
    <m/>
    <x v="0"/>
    <m/>
    <x v="0"/>
  </r>
  <r>
    <x v="3"/>
    <x v="0"/>
    <x v="16"/>
    <x v="0"/>
    <s v="HALIM"/>
    <s v="N25-0002/11"/>
    <x v="0"/>
    <n v="26"/>
    <n v="0"/>
    <m/>
    <x v="0"/>
    <x v="0"/>
    <m/>
    <x v="0"/>
    <m/>
    <x v="0"/>
  </r>
  <r>
    <x v="3"/>
    <x v="0"/>
    <x v="16"/>
    <x v="0"/>
    <s v="HALIM"/>
    <s v="N25-0001/6"/>
    <x v="0"/>
    <n v="36"/>
    <n v="0"/>
    <m/>
    <x v="0"/>
    <x v="0"/>
    <m/>
    <x v="0"/>
    <m/>
    <x v="0"/>
  </r>
  <r>
    <x v="3"/>
    <x v="0"/>
    <x v="16"/>
    <x v="0"/>
    <s v="HALIM"/>
    <s v="N25-0002/3"/>
    <x v="1"/>
    <n v="7"/>
    <n v="1"/>
    <s v="N1"/>
    <x v="1"/>
    <x v="1"/>
    <n v="251706"/>
    <x v="1"/>
    <s v="Cote non conforme au plan 2 D"/>
    <x v="1"/>
  </r>
  <r>
    <x v="3"/>
    <x v="0"/>
    <x v="16"/>
    <x v="0"/>
    <s v="HALIM"/>
    <s v="N25-0038/23"/>
    <x v="0"/>
    <n v="10"/>
    <n v="0"/>
    <m/>
    <x v="0"/>
    <x v="0"/>
    <m/>
    <x v="0"/>
    <m/>
    <x v="0"/>
  </r>
  <r>
    <x v="3"/>
    <x v="0"/>
    <x v="16"/>
    <x v="0"/>
    <s v="Ben Abdessamad Hassen"/>
    <s v="N26-0038/16"/>
    <x v="0"/>
    <n v="4"/>
    <n v="1"/>
    <s v="N1+P2"/>
    <x v="1"/>
    <x v="20"/>
    <n v="251707"/>
    <x v="2"/>
    <s v="Poche joint"/>
    <x v="1"/>
  </r>
  <r>
    <x v="3"/>
    <x v="0"/>
    <x v="16"/>
    <x v="0"/>
    <s v="Ben Abdessamad Hassen"/>
    <s v="N26-0038/16"/>
    <x v="0"/>
    <m/>
    <n v="1"/>
    <s v="N1+P2"/>
    <x v="1"/>
    <x v="5"/>
    <n v="251708"/>
    <x v="1"/>
    <s v="Profondeur poche joint"/>
    <x v="1"/>
  </r>
  <r>
    <x v="3"/>
    <x v="0"/>
    <x v="16"/>
    <x v="0"/>
    <s v="Ben Abdessamad Hassen"/>
    <s v="N26-0038/57"/>
    <x v="0"/>
    <n v="6"/>
    <n v="1"/>
    <s v="B1"/>
    <x v="1"/>
    <x v="14"/>
    <n v="251709"/>
    <x v="2"/>
    <m/>
    <x v="1"/>
  </r>
  <r>
    <x v="3"/>
    <x v="0"/>
    <x v="16"/>
    <x v="0"/>
    <s v="Ben Abdessamad Hassen"/>
    <s v="N26-0038/57"/>
    <x v="0"/>
    <m/>
    <n v="1"/>
    <s v="P1"/>
    <x v="1"/>
    <x v="20"/>
    <n v="251710"/>
    <x v="2"/>
    <s v="Poche douille  "/>
    <x v="1"/>
  </r>
  <r>
    <x v="3"/>
    <x v="0"/>
    <x v="16"/>
    <x v="0"/>
    <s v="Ben Abdessamad Hassen"/>
    <s v="N26-0038/41"/>
    <x v="0"/>
    <n v="42"/>
    <n v="1"/>
    <s v="N1"/>
    <x v="1"/>
    <x v="1"/>
    <n v="251711"/>
    <x v="1"/>
    <s v="Poche bus d'air"/>
    <x v="1"/>
  </r>
  <r>
    <x v="3"/>
    <x v="0"/>
    <x v="16"/>
    <x v="0"/>
    <s v="Ben Abdessamad Hassen"/>
    <s v="N26-0038/38"/>
    <x v="0"/>
    <n v="6"/>
    <n v="1"/>
    <s v="B1"/>
    <x v="1"/>
    <x v="10"/>
    <n v="251712"/>
    <x v="1"/>
    <s v="Pérçage pour micro switch"/>
    <x v="1"/>
  </r>
  <r>
    <x v="3"/>
    <x v="0"/>
    <x v="16"/>
    <x v="0"/>
    <s v="Ben Abdessamad Hassen"/>
    <s v="N26-0038/40"/>
    <x v="0"/>
    <n v="10"/>
    <n v="0"/>
    <m/>
    <x v="0"/>
    <x v="0"/>
    <m/>
    <x v="0"/>
    <m/>
    <x v="0"/>
  </r>
  <r>
    <x v="3"/>
    <x v="0"/>
    <x v="17"/>
    <x v="1"/>
    <s v="Ammari Slim"/>
    <s v="N26-0028/23"/>
    <x v="0"/>
    <m/>
    <n v="1"/>
    <s v="P1"/>
    <x v="1"/>
    <x v="1"/>
    <n v="202302646"/>
    <x v="1"/>
    <s v="retour au CNC (poche couvercle)"/>
    <x v="1"/>
  </r>
  <r>
    <x v="3"/>
    <x v="0"/>
    <x v="17"/>
    <x v="2"/>
    <s v="Ammari Slim"/>
    <s v="N26-0293/27"/>
    <x v="1"/>
    <m/>
    <n v="1"/>
    <s v="Shtift"/>
    <x v="10"/>
    <x v="39"/>
    <n v="202302647"/>
    <x v="1"/>
    <s v="mise à longueur du shalter-stift (longueur )"/>
    <x v="4"/>
  </r>
  <r>
    <x v="3"/>
    <x v="0"/>
    <x v="17"/>
    <x v="2"/>
    <s v="Ammari Slim"/>
    <s v="N26-0001/06"/>
    <x v="0"/>
    <m/>
    <n v="1"/>
    <s v="Shtift"/>
    <x v="10"/>
    <x v="24"/>
    <n v="202302648"/>
    <x v="4"/>
    <s v="shtift"/>
    <x v="5"/>
  </r>
  <r>
    <x v="3"/>
    <x v="0"/>
    <x v="17"/>
    <x v="2"/>
    <s v="Ammari Slim"/>
    <s v="N26-0282/01"/>
    <x v="1"/>
    <m/>
    <n v="1"/>
    <s v="B1"/>
    <x v="3"/>
    <x v="29"/>
    <n v="202302650"/>
    <x v="1"/>
    <s v="Modif B1"/>
    <x v="3"/>
  </r>
  <r>
    <x v="3"/>
    <x v="0"/>
    <x v="17"/>
    <x v="1"/>
    <s v="Ammari Slim"/>
    <s v="N26-0038/32"/>
    <x v="1"/>
    <m/>
    <n v="1"/>
    <s v="P1"/>
    <x v="3"/>
    <x v="44"/>
    <n v="202302651"/>
    <x v="2"/>
    <s v="refaire P1"/>
    <x v="3"/>
  </r>
  <r>
    <x v="3"/>
    <x v="0"/>
    <x v="17"/>
    <x v="0"/>
    <s v="HALIM"/>
    <s v="N25-0038/24"/>
    <x v="0"/>
    <n v="3"/>
    <n v="0"/>
    <m/>
    <x v="0"/>
    <x v="0"/>
    <m/>
    <x v="0"/>
    <m/>
    <x v="0"/>
  </r>
  <r>
    <x v="3"/>
    <x v="0"/>
    <x v="17"/>
    <x v="0"/>
    <s v="HALIM"/>
    <s v="N25-0293/2"/>
    <x v="0"/>
    <n v="6"/>
    <n v="0"/>
    <m/>
    <x v="0"/>
    <x v="0"/>
    <m/>
    <x v="0"/>
    <m/>
    <x v="0"/>
  </r>
  <r>
    <x v="3"/>
    <x v="0"/>
    <x v="17"/>
    <x v="0"/>
    <s v="HALIM"/>
    <s v="N25-0038/18"/>
    <x v="0"/>
    <n v="5"/>
    <n v="0"/>
    <m/>
    <x v="0"/>
    <x v="0"/>
    <m/>
    <x v="0"/>
    <m/>
    <x v="0"/>
  </r>
  <r>
    <x v="3"/>
    <x v="0"/>
    <x v="17"/>
    <x v="0"/>
    <s v="HALIM"/>
    <s v="N25-0038/55"/>
    <x v="0"/>
    <n v="6"/>
    <n v="0"/>
    <m/>
    <x v="0"/>
    <x v="0"/>
    <m/>
    <x v="0"/>
    <m/>
    <x v="0"/>
  </r>
  <r>
    <x v="3"/>
    <x v="0"/>
    <x v="17"/>
    <x v="0"/>
    <s v="HALIM"/>
    <s v="N25-0038/30"/>
    <x v="0"/>
    <n v="24"/>
    <n v="0"/>
    <m/>
    <x v="0"/>
    <x v="0"/>
    <m/>
    <x v="0"/>
    <m/>
    <x v="0"/>
  </r>
  <r>
    <x v="3"/>
    <x v="0"/>
    <x v="17"/>
    <x v="0"/>
    <s v="HALIM"/>
    <s v="N25-0038/17"/>
    <x v="0"/>
    <n v="12"/>
    <n v="0"/>
    <m/>
    <x v="0"/>
    <x v="0"/>
    <m/>
    <x v="0"/>
    <m/>
    <x v="0"/>
  </r>
  <r>
    <x v="3"/>
    <x v="0"/>
    <x v="17"/>
    <x v="0"/>
    <s v="HALIM"/>
    <s v="N25-0289/11"/>
    <x v="1"/>
    <n v="4"/>
    <n v="1"/>
    <s v="B1"/>
    <x v="3"/>
    <x v="45"/>
    <n v="251713"/>
    <x v="1"/>
    <s v="cote moins que la tolérance"/>
    <x v="3"/>
  </r>
  <r>
    <x v="3"/>
    <x v="0"/>
    <x v="17"/>
    <x v="0"/>
    <s v="HALIM"/>
    <s v="N25-0038/45"/>
    <x v="1"/>
    <n v="7"/>
    <n v="0"/>
    <m/>
    <x v="0"/>
    <x v="0"/>
    <m/>
    <x v="0"/>
    <m/>
    <x v="0"/>
  </r>
  <r>
    <x v="3"/>
    <x v="0"/>
    <x v="17"/>
    <x v="0"/>
    <s v="HALIM"/>
    <s v="N25-0038/32"/>
    <x v="1"/>
    <n v="7"/>
    <n v="1"/>
    <s v="N1"/>
    <x v="3"/>
    <x v="4"/>
    <n v="251714"/>
    <x v="2"/>
    <s v="Piéce non conforme au plan 2 D"/>
    <x v="3"/>
  </r>
  <r>
    <x v="3"/>
    <x v="0"/>
    <x v="17"/>
    <x v="0"/>
    <s v="Ben Abdessamad Hassen"/>
    <s v="N26-0038/22"/>
    <x v="1"/>
    <n v="6"/>
    <n v="1"/>
    <s v="P1"/>
    <x v="6"/>
    <x v="41"/>
    <n v="251715"/>
    <x v="1"/>
    <s v="Mnq fraise 3"/>
    <x v="1"/>
  </r>
  <r>
    <x v="3"/>
    <x v="0"/>
    <x v="17"/>
    <x v="0"/>
    <s v="Ben Abdessamad Hassen"/>
    <s v="N26-0038/7"/>
    <x v="0"/>
    <n v="18"/>
    <n v="1"/>
    <s v="P1"/>
    <x v="3"/>
    <x v="12"/>
    <n v="251716"/>
    <x v="2"/>
    <m/>
    <x v="1"/>
  </r>
  <r>
    <x v="3"/>
    <x v="0"/>
    <x v="17"/>
    <x v="0"/>
    <s v="Ben Abdessamad Hassen"/>
    <s v="N26-0038/28"/>
    <x v="0"/>
    <n v="14"/>
    <n v="1"/>
    <s v="P1"/>
    <x v="7"/>
    <x v="1"/>
    <n v="251717"/>
    <x v="1"/>
    <s v="Poche pour cuivre"/>
    <x v="1"/>
  </r>
  <r>
    <x v="3"/>
    <x v="0"/>
    <x v="17"/>
    <x v="0"/>
    <s v="Ben Abdessamad Hassen"/>
    <s v="N26-0038/29"/>
    <x v="0"/>
    <n v="14"/>
    <n v="1"/>
    <s v="P1"/>
    <x v="7"/>
    <x v="1"/>
    <n v="251718"/>
    <x v="1"/>
    <s v="Poche pour cuivre"/>
    <x v="1"/>
  </r>
  <r>
    <x v="3"/>
    <x v="0"/>
    <x v="17"/>
    <x v="0"/>
    <s v="Ben Abdessamad Hassen"/>
    <s v="N26-0002/8"/>
    <x v="0"/>
    <n v="16"/>
    <n v="1"/>
    <s v="P1"/>
    <x v="7"/>
    <x v="1"/>
    <n v="251719"/>
    <x v="1"/>
    <s v="Poche douille"/>
    <x v="1"/>
  </r>
  <r>
    <x v="3"/>
    <x v="0"/>
    <x v="17"/>
    <x v="0"/>
    <s v="Ben Abdessamad Hassen"/>
    <s v="N26-0002/8"/>
    <x v="0"/>
    <m/>
    <n v="1"/>
    <s v="N2"/>
    <x v="3"/>
    <x v="27"/>
    <m/>
    <x v="2"/>
    <s v="Lamage schift décalé"/>
    <x v="1"/>
  </r>
  <r>
    <x v="3"/>
    <x v="0"/>
    <x v="17"/>
    <x v="0"/>
    <s v="Ben Abdessamad Hassen"/>
    <s v="N26-0038/6"/>
    <x v="1"/>
    <n v="1"/>
    <n v="1"/>
    <s v="B1"/>
    <x v="3"/>
    <x v="35"/>
    <n v="251720"/>
    <x v="1"/>
    <s v="PB assemblage vérin10"/>
    <x v="3"/>
  </r>
  <r>
    <x v="3"/>
    <x v="0"/>
    <x v="17"/>
    <x v="0"/>
    <s v="Ben Abdessamad Hassen"/>
    <s v="N26-0010/2"/>
    <x v="1"/>
    <n v="3"/>
    <n v="1"/>
    <s v="P1"/>
    <x v="2"/>
    <x v="5"/>
    <n v="251721"/>
    <x v="1"/>
    <s v="Profondeur poche napp"/>
    <x v="2"/>
  </r>
  <r>
    <x v="3"/>
    <x v="0"/>
    <x v="18"/>
    <x v="1"/>
    <s v="Ammari Slim"/>
    <s v="N26-0038/17"/>
    <x v="0"/>
    <m/>
    <n v="1"/>
    <s v="Couvercle"/>
    <x v="8"/>
    <x v="23"/>
    <n v="202302652"/>
    <x v="4"/>
    <s v="Couvercle (STD)"/>
    <x v="4"/>
  </r>
  <r>
    <x v="3"/>
    <x v="0"/>
    <x v="18"/>
    <x v="1"/>
    <s v="Ammari Slim"/>
    <s v="N26-0002/08"/>
    <x v="0"/>
    <m/>
    <n v="1"/>
    <s v="N2"/>
    <x v="1"/>
    <x v="46"/>
    <n v="202302653"/>
    <x v="2"/>
    <s v="refaire N2"/>
    <x v="1"/>
  </r>
  <r>
    <x v="3"/>
    <x v="0"/>
    <x v="18"/>
    <x v="0"/>
    <s v="HALIM"/>
    <s v="N25-0289/11"/>
    <x v="1"/>
    <n v="1"/>
    <n v="0"/>
    <m/>
    <x v="0"/>
    <x v="0"/>
    <m/>
    <x v="0"/>
    <m/>
    <x v="0"/>
  </r>
  <r>
    <x v="3"/>
    <x v="0"/>
    <x v="18"/>
    <x v="0"/>
    <s v="HALIM"/>
    <s v="N25-0038/44"/>
    <x v="0"/>
    <n v="4"/>
    <n v="0"/>
    <m/>
    <x v="0"/>
    <x v="0"/>
    <m/>
    <x v="0"/>
    <m/>
    <x v="0"/>
  </r>
  <r>
    <x v="3"/>
    <x v="0"/>
    <x v="18"/>
    <x v="0"/>
    <s v="HALIM"/>
    <s v="N25-0038/20"/>
    <x v="0"/>
    <n v="6"/>
    <n v="0"/>
    <m/>
    <x v="0"/>
    <x v="0"/>
    <m/>
    <x v="0"/>
    <m/>
    <x v="0"/>
  </r>
  <r>
    <x v="3"/>
    <x v="0"/>
    <x v="18"/>
    <x v="0"/>
    <s v="HALIM"/>
    <s v="N25-0038/53"/>
    <x v="0"/>
    <n v="6"/>
    <n v="1"/>
    <s v="P1"/>
    <x v="1"/>
    <x v="1"/>
    <n v="251722"/>
    <x v="1"/>
    <s v="PB : insertion B1"/>
    <x v="1"/>
  </r>
  <r>
    <x v="3"/>
    <x v="0"/>
    <x v="18"/>
    <x v="0"/>
    <s v="HALIM"/>
    <s v="N25-0001/24"/>
    <x v="0"/>
    <n v="35"/>
    <n v="0"/>
    <m/>
    <x v="0"/>
    <x v="0"/>
    <m/>
    <x v="0"/>
    <m/>
    <x v="0"/>
  </r>
  <r>
    <x v="3"/>
    <x v="0"/>
    <x v="18"/>
    <x v="0"/>
    <s v="HALIM"/>
    <s v="N25-0038/12"/>
    <x v="0"/>
    <n v="8"/>
    <n v="0"/>
    <m/>
    <x v="0"/>
    <x v="0"/>
    <m/>
    <x v="0"/>
    <m/>
    <x v="0"/>
  </r>
  <r>
    <x v="3"/>
    <x v="0"/>
    <x v="18"/>
    <x v="0"/>
    <s v="HALIM"/>
    <s v="N25-0289/6"/>
    <x v="1"/>
    <n v="4"/>
    <n v="0"/>
    <m/>
    <x v="0"/>
    <x v="0"/>
    <m/>
    <x v="0"/>
    <m/>
    <x v="0"/>
  </r>
  <r>
    <x v="3"/>
    <x v="0"/>
    <x v="18"/>
    <x v="0"/>
    <s v="HALIM"/>
    <s v="N25-0038/39"/>
    <x v="0"/>
    <n v="3"/>
    <n v="0"/>
    <m/>
    <x v="0"/>
    <x v="0"/>
    <m/>
    <x v="0"/>
    <m/>
    <x v="0"/>
  </r>
  <r>
    <x v="3"/>
    <x v="0"/>
    <x v="18"/>
    <x v="0"/>
    <s v="HALIM"/>
    <s v="N25-0038/10"/>
    <x v="0"/>
    <n v="8"/>
    <n v="0"/>
    <m/>
    <x v="0"/>
    <x v="0"/>
    <m/>
    <x v="0"/>
    <m/>
    <x v="0"/>
  </r>
  <r>
    <x v="3"/>
    <x v="0"/>
    <x v="18"/>
    <x v="0"/>
    <s v="HALIM"/>
    <s v="N25-0038/2"/>
    <x v="0"/>
    <n v="7"/>
    <n v="0"/>
    <m/>
    <x v="0"/>
    <x v="0"/>
    <m/>
    <x v="0"/>
    <m/>
    <x v="0"/>
  </r>
  <r>
    <x v="3"/>
    <x v="0"/>
    <x v="18"/>
    <x v="0"/>
    <s v="HALIM"/>
    <s v="N25-0038/7"/>
    <x v="0"/>
    <n v="2"/>
    <n v="0"/>
    <m/>
    <x v="0"/>
    <x v="0"/>
    <m/>
    <x v="0"/>
    <m/>
    <x v="0"/>
  </r>
  <r>
    <x v="3"/>
    <x v="0"/>
    <x v="18"/>
    <x v="0"/>
    <s v="Ben Abdessamad Hassen"/>
    <s v="N26-0038/35"/>
    <x v="1"/>
    <n v="5"/>
    <n v="1"/>
    <s v="N1"/>
    <x v="1"/>
    <x v="1"/>
    <n v="251723"/>
    <x v="1"/>
    <s v="Poche vérin"/>
    <x v="1"/>
  </r>
  <r>
    <x v="3"/>
    <x v="0"/>
    <x v="18"/>
    <x v="0"/>
    <s v="Ben Abdessamad Hassen"/>
    <s v="N26-0038/35"/>
    <x v="1"/>
    <m/>
    <n v="1"/>
    <s v="PSD"/>
    <x v="2"/>
    <x v="18"/>
    <n v="251724"/>
    <x v="1"/>
    <m/>
    <x v="2"/>
  </r>
  <r>
    <x v="3"/>
    <x v="0"/>
    <x v="18"/>
    <x v="0"/>
    <s v="Ben Abdessamad Hassen"/>
    <s v="N26-0038/6"/>
    <x v="1"/>
    <n v="4"/>
    <n v="0"/>
    <m/>
    <x v="0"/>
    <x v="0"/>
    <m/>
    <x v="0"/>
    <m/>
    <x v="0"/>
  </r>
  <r>
    <x v="3"/>
    <x v="0"/>
    <x v="18"/>
    <x v="0"/>
    <s v="Ben Abdessamad Hassen"/>
    <s v="N26-0038/31"/>
    <x v="1"/>
    <n v="4"/>
    <n v="0"/>
    <m/>
    <x v="0"/>
    <x v="0"/>
    <m/>
    <x v="0"/>
    <m/>
    <x v="0"/>
  </r>
  <r>
    <x v="3"/>
    <x v="0"/>
    <x v="18"/>
    <x v="0"/>
    <s v="Ben Abdessamad Hassen"/>
    <s v="N26-0018/12"/>
    <x v="0"/>
    <n v="12"/>
    <n v="0"/>
    <m/>
    <x v="0"/>
    <x v="0"/>
    <m/>
    <x v="0"/>
    <m/>
    <x v="0"/>
  </r>
  <r>
    <x v="3"/>
    <x v="0"/>
    <x v="18"/>
    <x v="0"/>
    <s v="Ben Abdessamad Hassen"/>
    <s v="N26-0038/56"/>
    <x v="1"/>
    <n v="1"/>
    <n v="1"/>
    <s v="B2 "/>
    <x v="2"/>
    <x v="47"/>
    <n v="251725"/>
    <x v="2"/>
    <s v="Profondeur foret à centrer non conforme"/>
    <x v="2"/>
  </r>
  <r>
    <x v="3"/>
    <x v="0"/>
    <x v="18"/>
    <x v="0"/>
    <s v="Ben Abdessamad Hassen"/>
    <s v="N26-0001/23"/>
    <x v="0"/>
    <n v="30"/>
    <n v="0"/>
    <m/>
    <x v="0"/>
    <x v="0"/>
    <m/>
    <x v="0"/>
    <m/>
    <x v="0"/>
  </r>
  <r>
    <x v="3"/>
    <x v="0"/>
    <x v="18"/>
    <x v="0"/>
    <s v="Ben Abdessamad Hassen"/>
    <s v="N26-0018/17"/>
    <x v="0"/>
    <n v="5"/>
    <n v="0"/>
    <m/>
    <x v="0"/>
    <x v="0"/>
    <m/>
    <x v="0"/>
    <m/>
    <x v="0"/>
  </r>
  <r>
    <x v="3"/>
    <x v="0"/>
    <x v="18"/>
    <x v="0"/>
    <s v="Ben Abdessamad Hassen"/>
    <s v="N26-0030/1"/>
    <x v="0"/>
    <n v="6"/>
    <n v="0"/>
    <m/>
    <x v="0"/>
    <x v="0"/>
    <m/>
    <x v="0"/>
    <m/>
    <x v="0"/>
  </r>
  <r>
    <x v="3"/>
    <x v="0"/>
    <x v="19"/>
    <x v="1"/>
    <s v="Ammari Slim"/>
    <s v="N26-0038/07"/>
    <x v="0"/>
    <m/>
    <n v="1"/>
    <s v="P2"/>
    <x v="8"/>
    <x v="30"/>
    <n v="202302654"/>
    <x v="3"/>
    <s v="mq pièéces usinées (faire l'usinage de P2)"/>
    <x v="1"/>
  </r>
  <r>
    <x v="3"/>
    <x v="0"/>
    <x v="19"/>
    <x v="2"/>
    <s v="Ammari Slim"/>
    <s v="N26-0038/17"/>
    <x v="0"/>
    <m/>
    <n v="1"/>
    <s v="microswitch"/>
    <x v="10"/>
    <x v="24"/>
    <n v="202302655"/>
    <x v="4"/>
    <s v="microswitch"/>
    <x v="4"/>
  </r>
  <r>
    <x v="3"/>
    <x v="0"/>
    <x v="19"/>
    <x v="1"/>
    <s v="Ammari Slim"/>
    <s v="N26-0002/08"/>
    <x v="0"/>
    <m/>
    <n v="1"/>
    <s v="N2"/>
    <x v="1"/>
    <x v="46"/>
    <n v="202302657"/>
    <x v="2"/>
    <s v="refaire (N2+Peek)"/>
    <x v="1"/>
  </r>
  <r>
    <x v="3"/>
    <x v="0"/>
    <x v="19"/>
    <x v="1"/>
    <s v="Ammari Slim"/>
    <s v="N26-0038/07"/>
    <x v="0"/>
    <m/>
    <n v="1"/>
    <s v="vérin"/>
    <x v="10"/>
    <x v="24"/>
    <n v="202302658"/>
    <x v="4"/>
    <s v="vérin endommagé(changement)"/>
    <x v="4"/>
  </r>
  <r>
    <x v="3"/>
    <x v="0"/>
    <x v="19"/>
    <x v="1"/>
    <s v="Ammari Slim"/>
    <s v="N26-0038/56"/>
    <x v="1"/>
    <m/>
    <n v="1"/>
    <s v="B1"/>
    <x v="3"/>
    <x v="39"/>
    <n v="202302659"/>
    <x v="2"/>
    <s v="refaire B1"/>
    <x v="3"/>
  </r>
  <r>
    <x v="3"/>
    <x v="0"/>
    <x v="19"/>
    <x v="0"/>
    <s v="HALIM"/>
    <s v="N25-0038/45"/>
    <x v="0"/>
    <n v="7"/>
    <n v="0"/>
    <m/>
    <x v="0"/>
    <x v="0"/>
    <m/>
    <x v="0"/>
    <m/>
    <x v="0"/>
  </r>
  <r>
    <x v="3"/>
    <x v="0"/>
    <x v="19"/>
    <x v="0"/>
    <s v="HALIM"/>
    <s v="N25-0309/6"/>
    <x v="1"/>
    <n v="8"/>
    <n v="0"/>
    <m/>
    <x v="0"/>
    <x v="0"/>
    <m/>
    <x v="0"/>
    <m/>
    <x v="0"/>
  </r>
  <r>
    <x v="3"/>
    <x v="0"/>
    <x v="19"/>
    <x v="0"/>
    <s v="HALIM"/>
    <s v="N25-0038/4"/>
    <x v="1"/>
    <n v="1"/>
    <n v="1"/>
    <s v="S1"/>
    <x v="2"/>
    <x v="47"/>
    <n v="251726"/>
    <x v="2"/>
    <s v="Face non conforme au plan 2D"/>
    <x v="2"/>
  </r>
  <r>
    <x v="3"/>
    <x v="0"/>
    <x v="19"/>
    <x v="0"/>
    <s v="HALIM"/>
    <s v="N25-0023/2"/>
    <x v="0"/>
    <n v="4"/>
    <n v="0"/>
    <m/>
    <x v="0"/>
    <x v="0"/>
    <m/>
    <x v="0"/>
    <m/>
    <x v="0"/>
  </r>
  <r>
    <x v="3"/>
    <x v="0"/>
    <x v="19"/>
    <x v="0"/>
    <s v="HALIM"/>
    <s v="N25-0002/6"/>
    <x v="1"/>
    <n v="1"/>
    <n v="1"/>
    <s v="B1"/>
    <x v="2"/>
    <x v="47"/>
    <n v="251727"/>
    <x v="2"/>
    <s v="Piéce endommager"/>
    <x v="2"/>
  </r>
  <r>
    <x v="3"/>
    <x v="0"/>
    <x v="19"/>
    <x v="0"/>
    <s v="HALIM"/>
    <s v="N25-0038/4"/>
    <x v="1"/>
    <n v="6"/>
    <n v="0"/>
    <m/>
    <x v="0"/>
    <x v="0"/>
    <m/>
    <x v="0"/>
    <m/>
    <x v="0"/>
  </r>
  <r>
    <x v="3"/>
    <x v="0"/>
    <x v="19"/>
    <x v="0"/>
    <s v="HALIM"/>
    <s v="N25-0001/18"/>
    <x v="0"/>
    <n v="60"/>
    <n v="0"/>
    <m/>
    <x v="0"/>
    <x v="0"/>
    <m/>
    <x v="0"/>
    <m/>
    <x v="0"/>
  </r>
  <r>
    <x v="3"/>
    <x v="0"/>
    <x v="19"/>
    <x v="0"/>
    <s v="HALIM"/>
    <s v="N25-0038/22"/>
    <x v="0"/>
    <n v="45"/>
    <n v="0"/>
    <m/>
    <x v="0"/>
    <x v="0"/>
    <m/>
    <x v="0"/>
    <m/>
    <x v="0"/>
  </r>
  <r>
    <x v="3"/>
    <x v="0"/>
    <x v="19"/>
    <x v="0"/>
    <s v="Ben Abdessamad Hassen"/>
    <s v="N26-0038/34"/>
    <x v="1"/>
    <n v="7"/>
    <n v="1"/>
    <s v="N1"/>
    <x v="2"/>
    <x v="5"/>
    <n v="251728"/>
    <x v="1"/>
    <s v="Profondeur lamage schift"/>
    <x v="2"/>
  </r>
  <r>
    <x v="3"/>
    <x v="0"/>
    <x v="19"/>
    <x v="0"/>
    <s v="Ben Abdessamad Hassen"/>
    <s v="N26-0002/10"/>
    <x v="0"/>
    <n v="12"/>
    <n v="0"/>
    <m/>
    <x v="0"/>
    <x v="0"/>
    <m/>
    <x v="0"/>
    <m/>
    <x v="0"/>
  </r>
  <r>
    <x v="3"/>
    <x v="0"/>
    <x v="19"/>
    <x v="0"/>
    <s v="Ben Abdessamad Hassen"/>
    <s v="N26-0001/4"/>
    <x v="0"/>
    <n v="30"/>
    <n v="0"/>
    <m/>
    <x v="0"/>
    <x v="0"/>
    <m/>
    <x v="0"/>
    <m/>
    <x v="0"/>
  </r>
  <r>
    <x v="3"/>
    <x v="0"/>
    <x v="19"/>
    <x v="0"/>
    <s v="Ben Abdessamad Hassen"/>
    <s v="N26-0016/2"/>
    <x v="0"/>
    <n v="3"/>
    <n v="0"/>
    <m/>
    <x v="0"/>
    <x v="0"/>
    <m/>
    <x v="0"/>
    <m/>
    <x v="0"/>
  </r>
  <r>
    <x v="3"/>
    <x v="0"/>
    <x v="19"/>
    <x v="0"/>
    <s v="Ben Abdessamad Hassen"/>
    <s v="N26-0038/9"/>
    <x v="1"/>
    <n v="5"/>
    <n v="0"/>
    <m/>
    <x v="0"/>
    <x v="0"/>
    <m/>
    <x v="0"/>
    <m/>
    <x v="0"/>
  </r>
  <r>
    <x v="4"/>
    <x v="1"/>
    <x v="20"/>
    <x v="0"/>
    <s v="Ben Abdessamad Hassen"/>
    <s v="N26-0015/4"/>
    <x v="0"/>
    <n v="2"/>
    <n v="0"/>
    <m/>
    <x v="0"/>
    <x v="0"/>
    <m/>
    <x v="0"/>
    <m/>
    <x v="0"/>
  </r>
  <r>
    <x v="4"/>
    <x v="1"/>
    <x v="20"/>
    <x v="0"/>
    <s v="Ben Abdessamad Hassen"/>
    <s v="N26-0016/2"/>
    <x v="0"/>
    <n v="3"/>
    <n v="0"/>
    <m/>
    <x v="0"/>
    <x v="0"/>
    <m/>
    <x v="0"/>
    <m/>
    <x v="0"/>
  </r>
  <r>
    <x v="4"/>
    <x v="1"/>
    <x v="20"/>
    <x v="0"/>
    <s v="Ben Abdessamad Hassen"/>
    <s v="N26-0010/2"/>
    <x v="0"/>
    <n v="12"/>
    <n v="0"/>
    <m/>
    <x v="0"/>
    <x v="0"/>
    <m/>
    <x v="0"/>
    <m/>
    <x v="0"/>
  </r>
  <r>
    <x v="4"/>
    <x v="1"/>
    <x v="20"/>
    <x v="0"/>
    <s v="Ben Abdessamad Hassen"/>
    <s v="N26-0002/10"/>
    <x v="0"/>
    <n v="9"/>
    <n v="0"/>
    <m/>
    <x v="0"/>
    <x v="0"/>
    <m/>
    <x v="0"/>
    <m/>
    <x v="0"/>
  </r>
  <r>
    <x v="4"/>
    <x v="1"/>
    <x v="20"/>
    <x v="0"/>
    <s v="Ben Abdessamad Hassen"/>
    <s v="N26-0001/34"/>
    <x v="0"/>
    <n v="42"/>
    <n v="0"/>
    <m/>
    <x v="0"/>
    <x v="0"/>
    <m/>
    <x v="0"/>
    <m/>
    <x v="0"/>
  </r>
  <r>
    <x v="4"/>
    <x v="1"/>
    <x v="20"/>
    <x v="0"/>
    <s v="Ben Abdessamad Hassen"/>
    <s v="N26-0019/12"/>
    <x v="0"/>
    <n v="14"/>
    <n v="0"/>
    <m/>
    <x v="0"/>
    <x v="0"/>
    <m/>
    <x v="0"/>
    <m/>
    <x v="0"/>
  </r>
  <r>
    <x v="4"/>
    <x v="1"/>
    <x v="20"/>
    <x v="0"/>
    <s v="Ben Abdessamad Hassen"/>
    <s v="N26-0018/9"/>
    <x v="0"/>
    <n v="21"/>
    <n v="0"/>
    <m/>
    <x v="0"/>
    <x v="0"/>
    <m/>
    <x v="0"/>
    <m/>
    <x v="0"/>
  </r>
  <r>
    <x v="4"/>
    <x v="1"/>
    <x v="20"/>
    <x v="0"/>
    <s v="Ben Abdessamad Hassen"/>
    <s v="N26-0038/33"/>
    <x v="1"/>
    <n v="6"/>
    <n v="0"/>
    <m/>
    <x v="0"/>
    <x v="0"/>
    <m/>
    <x v="0"/>
    <m/>
    <x v="0"/>
  </r>
  <r>
    <x v="4"/>
    <x v="1"/>
    <x v="20"/>
    <x v="0"/>
    <s v="Ben Abdessamad Hassen"/>
    <s v="N26-0002/4"/>
    <x v="0"/>
    <n v="24"/>
    <n v="1"/>
    <s v="N1"/>
    <x v="7"/>
    <x v="1"/>
    <n v="251729"/>
    <x v="1"/>
    <s v="Poche pour cuivre"/>
    <x v="1"/>
  </r>
  <r>
    <x v="4"/>
    <x v="1"/>
    <x v="20"/>
    <x v="0"/>
    <s v="Ben Abdessamad Hassen"/>
    <s v="N26-0034/3"/>
    <x v="1"/>
    <n v="3"/>
    <n v="0"/>
    <m/>
    <x v="0"/>
    <x v="0"/>
    <m/>
    <x v="0"/>
    <m/>
    <x v="0"/>
  </r>
  <r>
    <x v="4"/>
    <x v="1"/>
    <x v="20"/>
    <x v="0"/>
    <s v="HALIM"/>
    <s v="N25-0282/1"/>
    <x v="1"/>
    <n v="2"/>
    <n v="0"/>
    <m/>
    <x v="0"/>
    <x v="0"/>
    <m/>
    <x v="0"/>
    <m/>
    <x v="0"/>
  </r>
  <r>
    <x v="4"/>
    <x v="1"/>
    <x v="20"/>
    <x v="0"/>
    <s v="HALIM"/>
    <s v="N25-0038/1"/>
    <x v="1"/>
    <n v="4"/>
    <n v="0"/>
    <m/>
    <x v="0"/>
    <x v="0"/>
    <m/>
    <x v="0"/>
    <m/>
    <x v="0"/>
  </r>
  <r>
    <x v="4"/>
    <x v="1"/>
    <x v="20"/>
    <x v="0"/>
    <s v="HALIM"/>
    <s v="N25-0037/1"/>
    <x v="0"/>
    <n v="3"/>
    <n v="0"/>
    <m/>
    <x v="0"/>
    <x v="0"/>
    <m/>
    <x v="0"/>
    <m/>
    <x v="0"/>
  </r>
  <r>
    <x v="4"/>
    <x v="1"/>
    <x v="20"/>
    <x v="0"/>
    <s v="HALIM"/>
    <s v="N25-0040/2"/>
    <x v="1"/>
    <n v="1"/>
    <n v="1"/>
    <s v="P1"/>
    <x v="7"/>
    <x v="1"/>
    <n v="251730"/>
    <x v="1"/>
    <s v="douille serré"/>
    <x v="1"/>
  </r>
  <r>
    <x v="4"/>
    <x v="1"/>
    <x v="20"/>
    <x v="0"/>
    <s v="HALIM"/>
    <s v="N25-0002/5"/>
    <x v="1"/>
    <n v="2"/>
    <n v="0"/>
    <m/>
    <x v="0"/>
    <x v="0"/>
    <m/>
    <x v="0"/>
    <m/>
    <x v="0"/>
  </r>
  <r>
    <x v="4"/>
    <x v="1"/>
    <x v="20"/>
    <x v="0"/>
    <s v="HALIM"/>
    <s v="N25-0289/15"/>
    <x v="1"/>
    <n v="7"/>
    <n v="1"/>
    <s v="SOCLE"/>
    <x v="8"/>
    <x v="21"/>
    <n v="251731"/>
    <x v="3"/>
    <s v="Mnq socle "/>
    <x v="6"/>
  </r>
  <r>
    <x v="4"/>
    <x v="1"/>
    <x v="20"/>
    <x v="0"/>
    <s v="HALIM"/>
    <s v="N25-0001/32"/>
    <x v="1"/>
    <n v="6"/>
    <n v="0"/>
    <m/>
    <x v="0"/>
    <x v="0"/>
    <m/>
    <x v="0"/>
    <m/>
    <x v="0"/>
  </r>
  <r>
    <x v="4"/>
    <x v="1"/>
    <x v="20"/>
    <x v="0"/>
    <s v="HALIM"/>
    <s v="N25-0289/10"/>
    <x v="0"/>
    <n v="12"/>
    <n v="1"/>
    <s v="P1"/>
    <x v="5"/>
    <x v="5"/>
    <n v="251732"/>
    <x v="1"/>
    <s v="Prof ( 12 ) pour lamage  incorrecte"/>
    <x v="1"/>
  </r>
  <r>
    <x v="4"/>
    <x v="1"/>
    <x v="20"/>
    <x v="0"/>
    <s v="HALIM"/>
    <s v="N25-0002/9"/>
    <x v="0"/>
    <n v="40"/>
    <n v="0"/>
    <m/>
    <x v="0"/>
    <x v="0"/>
    <m/>
    <x v="0"/>
    <m/>
    <x v="0"/>
  </r>
  <r>
    <x v="4"/>
    <x v="1"/>
    <x v="20"/>
    <x v="2"/>
    <s v="Ammari Slim"/>
    <s v="N26-0002/11"/>
    <x v="0"/>
    <n v="25"/>
    <n v="1"/>
    <s v="P1"/>
    <x v="3"/>
    <x v="39"/>
    <n v="202302660"/>
    <x v="1"/>
    <s v="refaire B1(longueur du P1 inssufisant)"/>
    <x v="3"/>
  </r>
  <r>
    <x v="4"/>
    <x v="1"/>
    <x v="21"/>
    <x v="0"/>
    <s v="Ben Abdessamad Hassen"/>
    <s v="N26-0037/2"/>
    <x v="0"/>
    <n v="6"/>
    <n v="0"/>
    <m/>
    <x v="0"/>
    <x v="0"/>
    <m/>
    <x v="0"/>
    <m/>
    <x v="0"/>
  </r>
  <r>
    <x v="4"/>
    <x v="1"/>
    <x v="21"/>
    <x v="0"/>
    <s v="Ben Abdessamad Hassen"/>
    <s v="N25-0289/6"/>
    <x v="0"/>
    <n v="8"/>
    <n v="0"/>
    <m/>
    <x v="0"/>
    <x v="0"/>
    <m/>
    <x v="0"/>
    <m/>
    <x v="0"/>
  </r>
  <r>
    <x v="4"/>
    <x v="1"/>
    <x v="21"/>
    <x v="0"/>
    <s v="Ben Abdessamad Hassen"/>
    <s v="N26-0044/3"/>
    <x v="0"/>
    <n v="10"/>
    <n v="0"/>
    <m/>
    <x v="0"/>
    <x v="0"/>
    <m/>
    <x v="0"/>
    <m/>
    <x v="0"/>
  </r>
  <r>
    <x v="4"/>
    <x v="1"/>
    <x v="21"/>
    <x v="0"/>
    <s v="Ben Abdessamad Hassen"/>
    <s v="N26-0038/19"/>
    <x v="1"/>
    <n v="5"/>
    <n v="0"/>
    <m/>
    <x v="0"/>
    <x v="0"/>
    <m/>
    <x v="0"/>
    <m/>
    <x v="0"/>
  </r>
  <r>
    <x v="4"/>
    <x v="1"/>
    <x v="21"/>
    <x v="0"/>
    <s v="Ben Abdessamad Hassen"/>
    <s v="N26-0038/9"/>
    <x v="0"/>
    <n v="5"/>
    <n v="1"/>
    <s v="P1"/>
    <x v="1"/>
    <x v="1"/>
    <n v="251733"/>
    <x v="1"/>
    <s v="Poche pour cuivre"/>
    <x v="1"/>
  </r>
  <r>
    <x v="4"/>
    <x v="1"/>
    <x v="21"/>
    <x v="0"/>
    <s v="Ben Abdessamad Hassen"/>
    <s v="N26-0038/19"/>
    <x v="1"/>
    <n v="5"/>
    <n v="0"/>
    <m/>
    <x v="0"/>
    <x v="0"/>
    <m/>
    <x v="0"/>
    <m/>
    <x v="0"/>
  </r>
  <r>
    <x v="4"/>
    <x v="1"/>
    <x v="21"/>
    <x v="0"/>
    <s v="Ben Abdessamad Hassen"/>
    <s v="N26-0001/18"/>
    <x v="0"/>
    <n v="60"/>
    <n v="0"/>
    <m/>
    <x v="0"/>
    <x v="0"/>
    <m/>
    <x v="0"/>
    <m/>
    <x v="0"/>
  </r>
  <r>
    <x v="4"/>
    <x v="1"/>
    <x v="21"/>
    <x v="0"/>
    <s v="Ben Abdessamad Hassen"/>
    <s v="N26-0038/59"/>
    <x v="1"/>
    <n v="9"/>
    <n v="0"/>
    <m/>
    <x v="0"/>
    <x v="0"/>
    <m/>
    <x v="0"/>
    <m/>
    <x v="0"/>
  </r>
  <r>
    <x v="4"/>
    <x v="1"/>
    <x v="21"/>
    <x v="0"/>
    <s v="Ben Abdessamad Hassen"/>
    <s v="N26-0038/4"/>
    <x v="0"/>
    <n v="5"/>
    <n v="1"/>
    <s v="P1"/>
    <x v="6"/>
    <x v="33"/>
    <n v="251734"/>
    <x v="1"/>
    <m/>
    <x v="1"/>
  </r>
  <r>
    <x v="4"/>
    <x v="1"/>
    <x v="21"/>
    <x v="0"/>
    <s v="Ben Abdessamad Hassen"/>
    <s v="N26-0038/6"/>
    <x v="0"/>
    <n v="5"/>
    <n v="0"/>
    <m/>
    <x v="0"/>
    <x v="0"/>
    <m/>
    <x v="0"/>
    <m/>
    <x v="0"/>
  </r>
  <r>
    <x v="4"/>
    <x v="1"/>
    <x v="21"/>
    <x v="0"/>
    <s v="Ben Abdessamad Hassen"/>
    <s v="N26-0038/13"/>
    <x v="1"/>
    <n v="12"/>
    <n v="1"/>
    <s v="N1"/>
    <x v="1"/>
    <x v="5"/>
    <n v="251735"/>
    <x v="1"/>
    <s v="Profondeur lamage schift"/>
    <x v="1"/>
  </r>
  <r>
    <x v="4"/>
    <x v="1"/>
    <x v="21"/>
    <x v="0"/>
    <s v="Ben Abdessamad Hassen"/>
    <s v="N26-0038/13"/>
    <x v="1"/>
    <m/>
    <n v="1"/>
    <s v="B1+P2"/>
    <x v="1"/>
    <x v="1"/>
    <n v="251736"/>
    <x v="1"/>
    <m/>
    <x v="1"/>
  </r>
  <r>
    <x v="4"/>
    <x v="1"/>
    <x v="21"/>
    <x v="0"/>
    <s v="Ben Abdessamad Hassen"/>
    <s v="N26-0038/43"/>
    <x v="1"/>
    <n v="9"/>
    <n v="0"/>
    <m/>
    <x v="0"/>
    <x v="0"/>
    <m/>
    <x v="0"/>
    <m/>
    <x v="0"/>
  </r>
  <r>
    <x v="4"/>
    <x v="1"/>
    <x v="21"/>
    <x v="0"/>
    <s v="HALIM"/>
    <s v="N25-0016/4"/>
    <x v="0"/>
    <n v="6"/>
    <n v="0"/>
    <m/>
    <x v="0"/>
    <x v="0"/>
    <m/>
    <x v="0"/>
    <m/>
    <x v="0"/>
  </r>
  <r>
    <x v="4"/>
    <x v="1"/>
    <x v="21"/>
    <x v="0"/>
    <s v="HALIM"/>
    <s v="N25-0289/14"/>
    <x v="0"/>
    <n v="15"/>
    <n v="0"/>
    <m/>
    <x v="0"/>
    <x v="0"/>
    <m/>
    <x v="0"/>
    <m/>
    <x v="0"/>
  </r>
  <r>
    <x v="4"/>
    <x v="1"/>
    <x v="21"/>
    <x v="0"/>
    <s v="HALIM"/>
    <s v="N25-0038/46"/>
    <x v="1"/>
    <n v="2"/>
    <n v="1"/>
    <s v="P1"/>
    <x v="5"/>
    <x v="5"/>
    <n v="251738"/>
    <x v="2"/>
    <s v="prof 3,2 au lieu de 2,5"/>
    <x v="1"/>
  </r>
  <r>
    <x v="4"/>
    <x v="1"/>
    <x v="21"/>
    <x v="0"/>
    <s v="HALIM"/>
    <s v="N25-0002/6"/>
    <x v="1"/>
    <n v="5"/>
    <n v="0"/>
    <m/>
    <x v="0"/>
    <x v="0"/>
    <m/>
    <x v="0"/>
    <m/>
    <x v="0"/>
  </r>
  <r>
    <x v="4"/>
    <x v="1"/>
    <x v="21"/>
    <x v="0"/>
    <s v="HALIM"/>
    <s v="N25-0002/1"/>
    <x v="0"/>
    <n v="40"/>
    <n v="0"/>
    <m/>
    <x v="0"/>
    <x v="0"/>
    <m/>
    <x v="0"/>
    <m/>
    <x v="0"/>
  </r>
  <r>
    <x v="4"/>
    <x v="1"/>
    <x v="21"/>
    <x v="1"/>
    <s v="Ammari Slim"/>
    <s v="N26-0038/59"/>
    <x v="1"/>
    <m/>
    <n v="1"/>
    <s v="D1; B1 et P1"/>
    <x v="3"/>
    <x v="28"/>
    <n v="202302661"/>
    <x v="1"/>
    <s v="modif sur D1+p1 et refaire B1"/>
    <x v="3"/>
  </r>
  <r>
    <x v="4"/>
    <x v="1"/>
    <x v="21"/>
    <x v="1"/>
    <s v="Ammari Slim"/>
    <s v="N26-0038/56"/>
    <x v="1"/>
    <m/>
    <n v="1"/>
    <s v="N1"/>
    <x v="3"/>
    <x v="26"/>
    <n v="202302662"/>
    <x v="1"/>
    <s v="modif sur N1"/>
    <x v="3"/>
  </r>
  <r>
    <x v="4"/>
    <x v="1"/>
    <x v="21"/>
    <x v="1"/>
    <s v="Ammari Slim"/>
    <s v="N26-0309/03"/>
    <x v="1"/>
    <n v="7"/>
    <n v="1"/>
    <s v="P1+P2"/>
    <x v="3"/>
    <x v="48"/>
    <n v="202302664"/>
    <x v="2"/>
    <s v="refaire P1+P2"/>
    <x v="3"/>
  </r>
  <r>
    <x v="4"/>
    <x v="1"/>
    <x v="22"/>
    <x v="1"/>
    <m/>
    <m/>
    <x v="0"/>
    <m/>
    <n v="0"/>
    <m/>
    <x v="0"/>
    <x v="0"/>
    <m/>
    <x v="0"/>
    <m/>
    <x v="0"/>
  </r>
  <r>
    <x v="4"/>
    <x v="1"/>
    <x v="22"/>
    <x v="1"/>
    <m/>
    <m/>
    <x v="0"/>
    <m/>
    <n v="0"/>
    <m/>
    <x v="0"/>
    <x v="0"/>
    <m/>
    <x v="0"/>
    <m/>
    <x v="0"/>
  </r>
  <r>
    <x v="4"/>
    <x v="1"/>
    <x v="22"/>
    <x v="1"/>
    <m/>
    <m/>
    <x v="1"/>
    <m/>
    <n v="0"/>
    <m/>
    <x v="0"/>
    <x v="0"/>
    <m/>
    <x v="0"/>
    <m/>
    <x v="0"/>
  </r>
  <r>
    <x v="4"/>
    <x v="1"/>
    <x v="22"/>
    <x v="1"/>
    <m/>
    <m/>
    <x v="1"/>
    <m/>
    <n v="0"/>
    <m/>
    <x v="0"/>
    <x v="0"/>
    <m/>
    <x v="0"/>
    <m/>
    <x v="0"/>
  </r>
  <r>
    <x v="4"/>
    <x v="1"/>
    <x v="21"/>
    <x v="1"/>
    <m/>
    <m/>
    <x v="0"/>
    <n v="24"/>
    <n v="0"/>
    <m/>
    <x v="0"/>
    <x v="0"/>
    <m/>
    <x v="0"/>
    <m/>
    <x v="0"/>
  </r>
  <r>
    <x v="4"/>
    <x v="1"/>
    <x v="20"/>
    <x v="1"/>
    <m/>
    <m/>
    <x v="1"/>
    <n v="2"/>
    <n v="0"/>
    <m/>
    <x v="0"/>
    <x v="0"/>
    <m/>
    <x v="0"/>
    <m/>
    <x v="0"/>
  </r>
  <r>
    <x v="4"/>
    <x v="1"/>
    <x v="23"/>
    <x v="0"/>
    <s v="Ben Abdessamad Hassen"/>
    <s v="N26-0038/1"/>
    <x v="0"/>
    <n v="8"/>
    <n v="0"/>
    <m/>
    <x v="0"/>
    <x v="0"/>
    <m/>
    <x v="0"/>
    <m/>
    <x v="0"/>
  </r>
  <r>
    <x v="4"/>
    <x v="1"/>
    <x v="23"/>
    <x v="0"/>
    <s v="Ben Abdessamad Hassen"/>
    <s v="N25-289/5"/>
    <x v="0"/>
    <n v="15"/>
    <n v="1"/>
    <s v="P1"/>
    <x v="1"/>
    <x v="49"/>
    <n v="251739"/>
    <x v="2"/>
    <s v="Profondeur poche necurone incorrecte"/>
    <x v="1"/>
  </r>
  <r>
    <x v="4"/>
    <x v="1"/>
    <x v="23"/>
    <x v="0"/>
    <s v="Ben Abdessamad Hassen"/>
    <s v="N25-0289/11"/>
    <x v="0"/>
    <n v="36"/>
    <m/>
    <m/>
    <x v="0"/>
    <x v="0"/>
    <m/>
    <x v="0"/>
    <m/>
    <x v="0"/>
  </r>
  <r>
    <x v="4"/>
    <x v="1"/>
    <x v="23"/>
    <x v="0"/>
    <s v="Ben Abdessamad Hassen"/>
    <s v="N26-0038/33"/>
    <x v="0"/>
    <n v="7"/>
    <n v="1"/>
    <s v="N1+P1"/>
    <x v="1"/>
    <x v="1"/>
    <n v="251740"/>
    <x v="1"/>
    <s v="Poche vérin"/>
    <x v="1"/>
  </r>
  <r>
    <x v="4"/>
    <x v="1"/>
    <x v="23"/>
    <x v="0"/>
    <s v="Ben Abdessamad Hassen"/>
    <s v="N26-0018/8"/>
    <x v="0"/>
    <n v="18"/>
    <n v="0"/>
    <m/>
    <x v="0"/>
    <x v="0"/>
    <m/>
    <x v="0"/>
    <m/>
    <x v="0"/>
  </r>
  <r>
    <x v="4"/>
    <x v="1"/>
    <x v="23"/>
    <x v="0"/>
    <s v="Ben Abdessamad Hassen"/>
    <s v="N26-0038/36"/>
    <x v="1"/>
    <n v="3"/>
    <n v="0"/>
    <m/>
    <x v="0"/>
    <x v="0"/>
    <m/>
    <x v="0"/>
    <m/>
    <x v="0"/>
  </r>
  <r>
    <x v="4"/>
    <x v="1"/>
    <x v="23"/>
    <x v="0"/>
    <s v="Ben Abdessamad Hassen"/>
    <s v="N26-0002/1"/>
    <x v="0"/>
    <n v="9"/>
    <n v="1"/>
    <s v="B4"/>
    <x v="2"/>
    <x v="4"/>
    <n v="251741"/>
    <x v="2"/>
    <m/>
    <x v="2"/>
  </r>
  <r>
    <x v="4"/>
    <x v="1"/>
    <x v="23"/>
    <x v="0"/>
    <s v="Ben Abdessamad Hassen"/>
    <s v="N26-0002/1"/>
    <x v="0"/>
    <m/>
    <n v="1"/>
    <s v="D1"/>
    <x v="1"/>
    <x v="4"/>
    <n v="251742"/>
    <x v="2"/>
    <m/>
    <x v="1"/>
  </r>
  <r>
    <x v="4"/>
    <x v="1"/>
    <x v="23"/>
    <x v="0"/>
    <s v="Ben Abdessamad Hassen"/>
    <s v="N26-0038/25"/>
    <x v="1"/>
    <n v="4"/>
    <n v="1"/>
    <s v="B1"/>
    <x v="3"/>
    <x v="45"/>
    <n v="251743"/>
    <x v="2"/>
    <s v="Cote non conforme  "/>
    <x v="3"/>
  </r>
  <r>
    <x v="4"/>
    <x v="1"/>
    <x v="23"/>
    <x v="0"/>
    <s v="Ben Abdessamad Hassen"/>
    <s v="N26-0028/1"/>
    <x v="1"/>
    <n v="1"/>
    <n v="1"/>
    <s v="N1"/>
    <x v="1"/>
    <x v="4"/>
    <n v="251744"/>
    <x v="2"/>
    <m/>
    <x v="1"/>
  </r>
  <r>
    <x v="4"/>
    <x v="1"/>
    <x v="23"/>
    <x v="0"/>
    <s v="HALIM"/>
    <s v="N25-0038/42"/>
    <x v="1"/>
    <n v="4"/>
    <n v="0"/>
    <m/>
    <x v="0"/>
    <x v="0"/>
    <m/>
    <x v="0"/>
    <m/>
    <x v="0"/>
  </r>
  <r>
    <x v="4"/>
    <x v="1"/>
    <x v="23"/>
    <x v="0"/>
    <s v="HALIM"/>
    <s v="N25-0289/10"/>
    <x v="0"/>
    <n v="2"/>
    <n v="0"/>
    <m/>
    <x v="0"/>
    <x v="0"/>
    <m/>
    <x v="0"/>
    <m/>
    <x v="0"/>
  </r>
  <r>
    <x v="4"/>
    <x v="1"/>
    <x v="23"/>
    <x v="0"/>
    <s v="HALIM"/>
    <s v="N25-0289/7"/>
    <x v="0"/>
    <n v="12"/>
    <n v="0"/>
    <m/>
    <x v="0"/>
    <x v="0"/>
    <m/>
    <x v="0"/>
    <m/>
    <x v="0"/>
  </r>
  <r>
    <x v="4"/>
    <x v="1"/>
    <x v="23"/>
    <x v="0"/>
    <s v="HALIM"/>
    <s v="N25-0018/4"/>
    <x v="0"/>
    <n v="25"/>
    <n v="0"/>
    <m/>
    <x v="0"/>
    <x v="0"/>
    <m/>
    <x v="0"/>
    <m/>
    <x v="0"/>
  </r>
  <r>
    <x v="4"/>
    <x v="1"/>
    <x v="23"/>
    <x v="0"/>
    <s v="HALIM"/>
    <s v="N25-0028/1"/>
    <x v="1"/>
    <n v="3"/>
    <n v="1"/>
    <s v="P1/B1"/>
    <x v="3"/>
    <x v="3"/>
    <n v="251745"/>
    <x v="1"/>
    <s v="Pb : insertion douille"/>
    <x v="3"/>
  </r>
  <r>
    <x v="4"/>
    <x v="1"/>
    <x v="23"/>
    <x v="0"/>
    <s v="HALIM"/>
    <s v="N25-0010/1"/>
    <x v="1"/>
    <n v="1"/>
    <n v="1"/>
    <s v="B2 "/>
    <x v="2"/>
    <x v="41"/>
    <n v="251746"/>
    <x v="1"/>
    <s v="Prog incorrecte"/>
    <x v="2"/>
  </r>
  <r>
    <x v="4"/>
    <x v="1"/>
    <x v="23"/>
    <x v="0"/>
    <s v="HALIM"/>
    <s v="N25-0038/35"/>
    <x v="0"/>
    <n v="5"/>
    <n v="0"/>
    <m/>
    <x v="0"/>
    <x v="0"/>
    <m/>
    <x v="0"/>
    <m/>
    <x v="0"/>
  </r>
  <r>
    <x v="4"/>
    <x v="1"/>
    <x v="23"/>
    <x v="0"/>
    <s v="HALIM"/>
    <s v="N25-0018/21"/>
    <x v="1"/>
    <n v="5"/>
    <n v="0"/>
    <m/>
    <x v="0"/>
    <x v="0"/>
    <m/>
    <x v="0"/>
    <m/>
    <x v="0"/>
  </r>
  <r>
    <x v="4"/>
    <x v="1"/>
    <x v="23"/>
    <x v="0"/>
    <s v="HALIM"/>
    <s v="N25-0038/46"/>
    <x v="0"/>
    <n v="2"/>
    <n v="0"/>
    <m/>
    <x v="0"/>
    <x v="0"/>
    <m/>
    <x v="0"/>
    <m/>
    <x v="0"/>
  </r>
  <r>
    <x v="4"/>
    <x v="1"/>
    <x v="23"/>
    <x v="1"/>
    <s v="Ammari Slim"/>
    <s v="N26-0038/43"/>
    <x v="1"/>
    <m/>
    <n v="1"/>
    <s v="N1"/>
    <x v="3"/>
    <x v="50"/>
    <n v="202302665"/>
    <x v="1"/>
    <s v="modif sur N1"/>
    <x v="3"/>
  </r>
  <r>
    <x v="4"/>
    <x v="1"/>
    <x v="23"/>
    <x v="2"/>
    <s v="Ammari Slim"/>
    <s v="N26-0289/10"/>
    <x v="0"/>
    <n v="20"/>
    <n v="1"/>
    <s v="P1"/>
    <x v="1"/>
    <x v="51"/>
    <n v="202302666"/>
    <x v="2"/>
    <s v="P1 à refaire"/>
    <x v="1"/>
  </r>
  <r>
    <x v="4"/>
    <x v="1"/>
    <x v="23"/>
    <x v="1"/>
    <s v="Ammari Slim"/>
    <s v="N26-0038/43"/>
    <x v="1"/>
    <n v="6"/>
    <n v="1"/>
    <s v="S1"/>
    <x v="3"/>
    <x v="39"/>
    <n v="202302667"/>
    <x v="2"/>
    <s v="Inox à refaire"/>
    <x v="3"/>
  </r>
  <r>
    <x v="4"/>
    <x v="1"/>
    <x v="24"/>
    <x v="0"/>
    <s v="Ben Abdessamad Hassen"/>
    <s v="N26-0045/1"/>
    <x v="0"/>
    <n v="7"/>
    <n v="1"/>
    <m/>
    <x v="0"/>
    <x v="0"/>
    <m/>
    <x v="0"/>
    <m/>
    <x v="0"/>
  </r>
  <r>
    <x v="4"/>
    <x v="1"/>
    <x v="24"/>
    <x v="0"/>
    <s v="Ben Abdessamad Hassen"/>
    <s v="N26-0038/27"/>
    <x v="1"/>
    <n v="2"/>
    <n v="0"/>
    <m/>
    <x v="3"/>
    <x v="45"/>
    <m/>
    <x v="1"/>
    <m/>
    <x v="0"/>
  </r>
  <r>
    <x v="4"/>
    <x v="1"/>
    <x v="24"/>
    <x v="0"/>
    <s v="Ben Abdessamad Hassen"/>
    <s v="N26-0038/59"/>
    <x v="0"/>
    <n v="114"/>
    <n v="1"/>
    <s v="N1"/>
    <x v="1"/>
    <x v="1"/>
    <n v="251747"/>
    <x v="1"/>
    <s v="Poche axe8"/>
    <x v="1"/>
  </r>
  <r>
    <x v="4"/>
    <x v="1"/>
    <x v="24"/>
    <x v="0"/>
    <s v="Ben Abdessamad Hassen"/>
    <s v="N26-0038/8"/>
    <x v="1"/>
    <n v="4"/>
    <n v="1"/>
    <s v="B1"/>
    <x v="3"/>
    <x v="45"/>
    <n v="251748"/>
    <x v="1"/>
    <m/>
    <x v="3"/>
  </r>
  <r>
    <x v="4"/>
    <x v="1"/>
    <x v="24"/>
    <x v="0"/>
    <s v="Ben Abdessamad Hassen"/>
    <s v="N26-0038/37"/>
    <x v="1"/>
    <n v="4"/>
    <n v="0"/>
    <m/>
    <x v="0"/>
    <x v="0"/>
    <m/>
    <x v="0"/>
    <m/>
    <x v="0"/>
  </r>
  <r>
    <x v="4"/>
    <x v="1"/>
    <x v="24"/>
    <x v="0"/>
    <s v="Ben Abdessamad Hassen"/>
    <s v="N26-0010/1"/>
    <x v="1"/>
    <n v="4"/>
    <n v="1"/>
    <s v="B2 "/>
    <x v="3"/>
    <x v="41"/>
    <n v="251749"/>
    <x v="1"/>
    <s v="Mnq lamage vis"/>
    <x v="3"/>
  </r>
  <r>
    <x v="4"/>
    <x v="1"/>
    <x v="24"/>
    <x v="0"/>
    <s v="Ben Abdessamad Hassen"/>
    <s v="N26-0038/21"/>
    <x v="1"/>
    <n v="8"/>
    <n v="0"/>
    <m/>
    <x v="0"/>
    <x v="0"/>
    <m/>
    <x v="0"/>
    <m/>
    <x v="0"/>
  </r>
  <r>
    <x v="4"/>
    <x v="1"/>
    <x v="24"/>
    <x v="0"/>
    <s v="Ben Abdessamad Hassen"/>
    <s v="N25-0304/4"/>
    <x v="1"/>
    <n v="18"/>
    <n v="0"/>
    <m/>
    <x v="0"/>
    <x v="0"/>
    <m/>
    <x v="0"/>
    <m/>
    <x v="0"/>
  </r>
  <r>
    <x v="4"/>
    <x v="1"/>
    <x v="24"/>
    <x v="0"/>
    <s v="HALIM"/>
    <s v="N25-0293/2"/>
    <x v="0"/>
    <n v="30"/>
    <n v="0"/>
    <m/>
    <x v="0"/>
    <x v="0"/>
    <m/>
    <x v="0"/>
    <m/>
    <x v="0"/>
  </r>
  <r>
    <x v="4"/>
    <x v="1"/>
    <x v="24"/>
    <x v="0"/>
    <s v="HALIM"/>
    <s v="N25-0038/5"/>
    <x v="1"/>
    <n v="1"/>
    <n v="1"/>
    <s v="N1"/>
    <x v="1"/>
    <x v="10"/>
    <n v="251751"/>
    <x v="2"/>
    <s v="Piéce rndommager"/>
    <x v="1"/>
  </r>
  <r>
    <x v="4"/>
    <x v="1"/>
    <x v="24"/>
    <x v="0"/>
    <s v="HALIM"/>
    <s v="N25-0038/13"/>
    <x v="0"/>
    <n v="36"/>
    <n v="0"/>
    <m/>
    <x v="0"/>
    <x v="0"/>
    <m/>
    <x v="0"/>
    <m/>
    <x v="0"/>
  </r>
  <r>
    <x v="4"/>
    <x v="1"/>
    <x v="24"/>
    <x v="0"/>
    <s v="HALIM"/>
    <s v="N25-0038/8"/>
    <x v="0"/>
    <n v="4"/>
    <n v="0"/>
    <m/>
    <x v="0"/>
    <x v="0"/>
    <m/>
    <x v="0"/>
    <m/>
    <x v="0"/>
  </r>
  <r>
    <x v="4"/>
    <x v="1"/>
    <x v="24"/>
    <x v="0"/>
    <s v="HALIM"/>
    <s v="N25-0038/5"/>
    <x v="1"/>
    <n v="5"/>
    <n v="1"/>
    <s v="D1"/>
    <x v="3"/>
    <x v="3"/>
    <n v="251752"/>
    <x v="1"/>
    <s v="PB : maintien"/>
    <x v="3"/>
  </r>
  <r>
    <x v="4"/>
    <x v="1"/>
    <x v="24"/>
    <x v="0"/>
    <s v="HALIM"/>
    <s v="N25-0018/1"/>
    <x v="0"/>
    <n v="1"/>
    <n v="1"/>
    <s v="B1"/>
    <x v="2"/>
    <x v="47"/>
    <n v="251753"/>
    <x v="2"/>
    <s v="Cimco incorrecte"/>
    <x v="2"/>
  </r>
  <r>
    <x v="4"/>
    <x v="1"/>
    <x v="24"/>
    <x v="0"/>
    <s v="HALIM"/>
    <s v="N25-0296/2"/>
    <x v="1"/>
    <n v="3"/>
    <n v="0"/>
    <m/>
    <x v="0"/>
    <x v="0"/>
    <m/>
    <x v="0"/>
    <m/>
    <x v="0"/>
  </r>
  <r>
    <x v="4"/>
    <x v="1"/>
    <x v="24"/>
    <x v="0"/>
    <s v="HALIM"/>
    <s v="N25-0289/17"/>
    <x v="0"/>
    <n v="3"/>
    <n v="3"/>
    <s v="B1+B2"/>
    <x v="2"/>
    <x v="47"/>
    <n v="251753"/>
    <x v="2"/>
    <s v="Cimco incorrecte"/>
    <x v="2"/>
  </r>
  <r>
    <x v="4"/>
    <x v="1"/>
    <x v="24"/>
    <x v="1"/>
    <m/>
    <m/>
    <x v="0"/>
    <n v="26"/>
    <n v="0"/>
    <m/>
    <x v="0"/>
    <x v="0"/>
    <m/>
    <x v="0"/>
    <m/>
    <x v="0"/>
  </r>
  <r>
    <x v="4"/>
    <x v="1"/>
    <x v="24"/>
    <x v="1"/>
    <m/>
    <m/>
    <x v="1"/>
    <n v="7"/>
    <n v="0"/>
    <m/>
    <x v="0"/>
    <x v="0"/>
    <m/>
    <x v="0"/>
    <m/>
    <x v="0"/>
  </r>
  <r>
    <x v="4"/>
    <x v="1"/>
    <x v="25"/>
    <x v="0"/>
    <s v="Ben Abdessamad Hassen"/>
    <s v="N26-0038/50"/>
    <x v="0"/>
    <n v="4"/>
    <n v="0"/>
    <m/>
    <x v="0"/>
    <x v="0"/>
    <m/>
    <x v="0"/>
    <m/>
    <x v="0"/>
  </r>
  <r>
    <x v="4"/>
    <x v="1"/>
    <x v="25"/>
    <x v="0"/>
    <s v="Ben Abdessamad Hassen"/>
    <s v="N26-0038/26"/>
    <x v="1"/>
    <n v="2"/>
    <n v="0"/>
    <m/>
    <x v="0"/>
    <x v="0"/>
    <m/>
    <x v="0"/>
    <m/>
    <x v="0"/>
  </r>
  <r>
    <x v="4"/>
    <x v="1"/>
    <x v="25"/>
    <x v="0"/>
    <s v="Ben Abdessamad Hassen"/>
    <s v="N26-0038/51"/>
    <x v="1"/>
    <n v="2"/>
    <n v="0"/>
    <m/>
    <x v="0"/>
    <x v="0"/>
    <m/>
    <x v="0"/>
    <m/>
    <x v="0"/>
  </r>
  <r>
    <x v="4"/>
    <x v="1"/>
    <x v="25"/>
    <x v="0"/>
    <s v="Ben Abdessamad Hassen"/>
    <s v="N25-0289/17"/>
    <x v="0"/>
    <n v="18"/>
    <n v="0"/>
    <m/>
    <x v="0"/>
    <x v="0"/>
    <m/>
    <x v="0"/>
    <m/>
    <x v="0"/>
  </r>
  <r>
    <x v="4"/>
    <x v="1"/>
    <x v="25"/>
    <x v="0"/>
    <s v="Ben Abdessamad Hassen"/>
    <s v="N26-0019/24"/>
    <x v="0"/>
    <n v="6"/>
    <n v="0"/>
    <m/>
    <x v="0"/>
    <x v="0"/>
    <m/>
    <x v="0"/>
    <m/>
    <x v="0"/>
  </r>
  <r>
    <x v="4"/>
    <x v="1"/>
    <x v="25"/>
    <x v="0"/>
    <s v="Ben Abdessamad Hassen"/>
    <s v="N25-0289/9"/>
    <x v="0"/>
    <n v="12"/>
    <n v="0"/>
    <m/>
    <x v="0"/>
    <x v="0"/>
    <m/>
    <x v="0"/>
    <m/>
    <x v="0"/>
  </r>
  <r>
    <x v="4"/>
    <x v="1"/>
    <x v="25"/>
    <x v="0"/>
    <s v="Ben Abdessamad Hassen"/>
    <s v="N26-0038/3"/>
    <x v="1"/>
    <n v="3"/>
    <n v="0"/>
    <m/>
    <x v="0"/>
    <x v="0"/>
    <m/>
    <x v="0"/>
    <m/>
    <x v="0"/>
  </r>
  <r>
    <x v="4"/>
    <x v="1"/>
    <x v="25"/>
    <x v="0"/>
    <s v="Ben Abdessamad Hassen"/>
    <s v="N26-0001/36"/>
    <x v="1"/>
    <n v="7"/>
    <n v="1"/>
    <s v="P1"/>
    <x v="3"/>
    <x v="5"/>
    <n v="251754"/>
    <x v="1"/>
    <m/>
    <x v="3"/>
  </r>
  <r>
    <x v="4"/>
    <x v="1"/>
    <x v="25"/>
    <x v="0"/>
    <s v="Ben Abdessamad Hassen"/>
    <s v="N26-0001/36"/>
    <x v="1"/>
    <n v="1"/>
    <n v="1"/>
    <s v="B5"/>
    <x v="1"/>
    <x v="4"/>
    <n v="251755"/>
    <x v="2"/>
    <m/>
    <x v="1"/>
  </r>
  <r>
    <x v="4"/>
    <x v="1"/>
    <x v="25"/>
    <x v="0"/>
    <s v="HALIM"/>
    <s v="N25-0018/1"/>
    <x v="0"/>
    <n v="12"/>
    <n v="0"/>
    <m/>
    <x v="0"/>
    <x v="0"/>
    <m/>
    <x v="0"/>
    <m/>
    <x v="0"/>
  </r>
  <r>
    <x v="4"/>
    <x v="1"/>
    <x v="25"/>
    <x v="0"/>
    <s v="HALIM"/>
    <s v="N25-0018/5"/>
    <x v="0"/>
    <n v="18"/>
    <n v="2"/>
    <s v="N1"/>
    <x v="6"/>
    <x v="41"/>
    <n v="251756"/>
    <x v="1"/>
    <s v="Mnq pérçage 1,4"/>
    <x v="1"/>
  </r>
  <r>
    <x v="4"/>
    <x v="1"/>
    <x v="25"/>
    <x v="0"/>
    <s v="HALIM"/>
    <s v="N25-0028/1"/>
    <x v="1"/>
    <n v="3"/>
    <n v="0"/>
    <m/>
    <x v="0"/>
    <x v="0"/>
    <m/>
    <x v="0"/>
    <m/>
    <x v="0"/>
  </r>
  <r>
    <x v="4"/>
    <x v="1"/>
    <x v="25"/>
    <x v="0"/>
    <s v="HALIM"/>
    <s v="N25-0038/14"/>
    <x v="1"/>
    <n v="2"/>
    <n v="2"/>
    <s v="B1"/>
    <x v="5"/>
    <x v="52"/>
    <n v="251757"/>
    <x v="1"/>
    <s v="Z fini incorrect"/>
    <x v="1"/>
  </r>
  <r>
    <x v="4"/>
    <x v="1"/>
    <x v="25"/>
    <x v="0"/>
    <s v="HALIM"/>
    <s v="N25-0031/1"/>
    <x v="0"/>
    <n v="30"/>
    <n v="0"/>
    <m/>
    <x v="0"/>
    <x v="0"/>
    <m/>
    <x v="0"/>
    <m/>
    <x v="0"/>
  </r>
  <r>
    <x v="4"/>
    <x v="1"/>
    <x v="25"/>
    <x v="0"/>
    <s v="HALIM"/>
    <s v="N25-0038/49"/>
    <x v="0"/>
    <n v="4"/>
    <n v="0"/>
    <m/>
    <x v="0"/>
    <x v="0"/>
    <m/>
    <x v="0"/>
    <m/>
    <x v="0"/>
  </r>
  <r>
    <x v="4"/>
    <x v="1"/>
    <x v="25"/>
    <x v="0"/>
    <s v="HALIM"/>
    <s v="N25-0038/15"/>
    <x v="0"/>
    <n v="4"/>
    <n v="0"/>
    <m/>
    <x v="0"/>
    <x v="0"/>
    <m/>
    <x v="0"/>
    <m/>
    <x v="0"/>
  </r>
  <r>
    <x v="4"/>
    <x v="1"/>
    <x v="25"/>
    <x v="1"/>
    <s v="Ammari Slim"/>
    <s v="N26-0038/05"/>
    <x v="1"/>
    <m/>
    <n v="1"/>
    <s v="D1"/>
    <x v="3"/>
    <x v="39"/>
    <n v="202302668"/>
    <x v="1"/>
    <s v="manque perçage pour shalter-shtift(D1)"/>
    <x v="3"/>
  </r>
  <r>
    <x v="4"/>
    <x v="1"/>
    <x v="25"/>
    <x v="1"/>
    <s v="Ammari Slim"/>
    <s v="N26-0038/51"/>
    <x v="1"/>
    <n v="4"/>
    <n v="1"/>
    <s v="P1"/>
    <x v="1"/>
    <x v="51"/>
    <n v="202302670"/>
    <x v="2"/>
    <s v="P1 à refaire"/>
    <x v="1"/>
  </r>
  <r>
    <x v="4"/>
    <x v="1"/>
    <x v="25"/>
    <x v="2"/>
    <s v="Ammari Slim"/>
    <s v="N26-0038/21"/>
    <x v="1"/>
    <m/>
    <n v="1"/>
    <m/>
    <x v="3"/>
    <x v="39"/>
    <n v="202302673"/>
    <x v="2"/>
    <s v="refaire pièces"/>
    <x v="3"/>
  </r>
  <r>
    <x v="4"/>
    <x v="1"/>
    <x v="25"/>
    <x v="1"/>
    <m/>
    <m/>
    <x v="0"/>
    <n v="34"/>
    <n v="0"/>
    <m/>
    <x v="0"/>
    <x v="0"/>
    <m/>
    <x v="0"/>
    <m/>
    <x v="0"/>
  </r>
  <r>
    <x v="5"/>
    <x v="1"/>
    <x v="26"/>
    <x v="0"/>
    <s v="HALIM"/>
    <s v="N25-0038/51"/>
    <x v="0"/>
    <n v="2"/>
    <n v="0"/>
    <m/>
    <x v="0"/>
    <x v="0"/>
    <m/>
    <x v="0"/>
    <m/>
    <x v="0"/>
  </r>
  <r>
    <x v="5"/>
    <x v="1"/>
    <x v="26"/>
    <x v="0"/>
    <s v="HALIM"/>
    <s v="N25-0038/48"/>
    <x v="1"/>
    <n v="4"/>
    <n v="1"/>
    <s v="P1"/>
    <x v="1"/>
    <x v="4"/>
    <n v="251758"/>
    <x v="2"/>
    <s v="Poche tete vis non conforme"/>
    <x v="1"/>
  </r>
  <r>
    <x v="5"/>
    <x v="1"/>
    <x v="26"/>
    <x v="0"/>
    <s v="HALIM"/>
    <s v="N25-0038/47"/>
    <x v="1"/>
    <n v="3"/>
    <n v="0"/>
    <m/>
    <x v="0"/>
    <x v="0"/>
    <m/>
    <x v="0"/>
    <m/>
    <x v="0"/>
  </r>
  <r>
    <x v="5"/>
    <x v="1"/>
    <x v="26"/>
    <x v="0"/>
    <s v="HALIM"/>
    <s v="N25-0289/13"/>
    <x v="0"/>
    <n v="21"/>
    <n v="0"/>
    <m/>
    <x v="0"/>
    <x v="0"/>
    <m/>
    <x v="0"/>
    <m/>
    <x v="0"/>
  </r>
  <r>
    <x v="5"/>
    <x v="1"/>
    <x v="26"/>
    <x v="0"/>
    <s v="HALIM"/>
    <s v="N25-0038/3"/>
    <x v="0"/>
    <n v="3"/>
    <n v="0"/>
    <m/>
    <x v="0"/>
    <x v="0"/>
    <m/>
    <x v="0"/>
    <m/>
    <x v="0"/>
  </r>
  <r>
    <x v="5"/>
    <x v="1"/>
    <x v="26"/>
    <x v="0"/>
    <s v="HALIM"/>
    <s v="N25-0038/52"/>
    <x v="1"/>
    <n v="2"/>
    <n v="0"/>
    <m/>
    <x v="0"/>
    <x v="0"/>
    <m/>
    <x v="0"/>
    <m/>
    <x v="0"/>
  </r>
  <r>
    <x v="5"/>
    <x v="1"/>
    <x v="26"/>
    <x v="0"/>
    <s v="HALIM"/>
    <s v="N25-0001/36"/>
    <x v="1"/>
    <n v="7"/>
    <n v="0"/>
    <m/>
    <x v="0"/>
    <x v="0"/>
    <m/>
    <x v="0"/>
    <m/>
    <x v="0"/>
  </r>
  <r>
    <x v="5"/>
    <x v="1"/>
    <x v="26"/>
    <x v="0"/>
    <s v="HALIM"/>
    <s v="N25-0018/18"/>
    <x v="1"/>
    <n v="3"/>
    <n v="0"/>
    <m/>
    <x v="0"/>
    <x v="0"/>
    <m/>
    <x v="0"/>
    <m/>
    <x v="0"/>
  </r>
  <r>
    <x v="5"/>
    <x v="1"/>
    <x v="26"/>
    <x v="0"/>
    <s v="HALIM"/>
    <s v="N25-0038/14"/>
    <x v="1"/>
    <n v="24"/>
    <n v="1"/>
    <s v="peek"/>
    <x v="1"/>
    <x v="1"/>
    <n v="251759"/>
    <x v="2"/>
    <s v="Piéce endommager"/>
    <x v="1"/>
  </r>
  <r>
    <x v="5"/>
    <x v="1"/>
    <x v="26"/>
    <x v="0"/>
    <s v="HALIM"/>
    <s v="N25-0016/7"/>
    <x v="0"/>
    <n v="5"/>
    <n v="0"/>
    <m/>
    <x v="0"/>
    <x v="0"/>
    <m/>
    <x v="0"/>
    <m/>
    <x v="0"/>
  </r>
  <r>
    <x v="5"/>
    <x v="1"/>
    <x v="26"/>
    <x v="0"/>
    <s v="Ben Abdessamad Hassen"/>
    <s v="N26-0052/2"/>
    <x v="0"/>
    <n v="5"/>
    <n v="1"/>
    <s v="P1"/>
    <x v="1"/>
    <x v="10"/>
    <n v="251760"/>
    <x v="2"/>
    <s v="Pérçage D2,5 pour vérin decalé"/>
    <x v="1"/>
  </r>
  <r>
    <x v="5"/>
    <x v="1"/>
    <x v="26"/>
    <x v="0"/>
    <s v="Ben Abdessamad Hassen"/>
    <s v="N26-0018/7"/>
    <x v="0"/>
    <n v="6"/>
    <n v="0"/>
    <m/>
    <x v="0"/>
    <x v="0"/>
    <m/>
    <x v="0"/>
    <m/>
    <x v="0"/>
  </r>
  <r>
    <x v="5"/>
    <x v="1"/>
    <x v="26"/>
    <x v="0"/>
    <s v="Ben Abdessamad Hassen"/>
    <s v="N26-0019/9"/>
    <x v="0"/>
    <n v="9"/>
    <n v="0"/>
    <m/>
    <x v="0"/>
    <x v="0"/>
    <m/>
    <x v="0"/>
    <m/>
    <x v="0"/>
  </r>
  <r>
    <x v="5"/>
    <x v="1"/>
    <x v="26"/>
    <x v="0"/>
    <s v="Ben Abdessamad Hassen"/>
    <s v="N25-0289/3"/>
    <x v="0"/>
    <n v="9"/>
    <n v="3"/>
    <s v="N1"/>
    <x v="1"/>
    <x v="1"/>
    <n v="251761"/>
    <x v="1"/>
    <s v="Poche vérin+alésoire2"/>
    <x v="1"/>
  </r>
  <r>
    <x v="5"/>
    <x v="1"/>
    <x v="26"/>
    <x v="0"/>
    <s v="Ben Abdessamad Hassen"/>
    <s v="N26-0018/18"/>
    <x v="0"/>
    <n v="1"/>
    <n v="1"/>
    <s v="P1"/>
    <x v="1"/>
    <x v="20"/>
    <n v="251762"/>
    <x v="1"/>
    <s v="Poche micro switch"/>
    <x v="1"/>
  </r>
  <r>
    <x v="5"/>
    <x v="1"/>
    <x v="26"/>
    <x v="0"/>
    <s v="Ben Abdessamad Hassen"/>
    <s v="N25-0289/4"/>
    <x v="0"/>
    <n v="21"/>
    <n v="2"/>
    <s v="P1+N1"/>
    <x v="1"/>
    <x v="1"/>
    <n v="251763"/>
    <x v="1"/>
    <s v="Poche vérin"/>
    <x v="1"/>
  </r>
  <r>
    <x v="5"/>
    <x v="1"/>
    <x v="26"/>
    <x v="0"/>
    <s v="Ben Abdessamad Hassen"/>
    <s v="N26-0043/4"/>
    <x v="0"/>
    <n v="7"/>
    <n v="0"/>
    <m/>
    <x v="0"/>
    <x v="0"/>
    <m/>
    <x v="0"/>
    <m/>
    <x v="0"/>
  </r>
  <r>
    <x v="5"/>
    <x v="1"/>
    <x v="26"/>
    <x v="1"/>
    <s v="Ammari Slim"/>
    <s v="N26-0038/21"/>
    <x v="1"/>
    <n v="7"/>
    <n v="1"/>
    <m/>
    <x v="2"/>
    <x v="25"/>
    <n v="202302674"/>
    <x v="2"/>
    <s v="cuivre"/>
    <x v="2"/>
  </r>
  <r>
    <x v="5"/>
    <x v="1"/>
    <x v="26"/>
    <x v="1"/>
    <m/>
    <m/>
    <x v="0"/>
    <n v="17"/>
    <n v="0"/>
    <m/>
    <x v="0"/>
    <x v="0"/>
    <m/>
    <x v="0"/>
    <m/>
    <x v="0"/>
  </r>
  <r>
    <x v="5"/>
    <x v="1"/>
    <x v="27"/>
    <x v="0"/>
    <s v="HALIM"/>
    <s v="N25-0038/52"/>
    <x v="0"/>
    <n v="2"/>
    <n v="0"/>
    <m/>
    <x v="0"/>
    <x v="0"/>
    <m/>
    <x v="0"/>
    <m/>
    <x v="0"/>
  </r>
  <r>
    <x v="5"/>
    <x v="1"/>
    <x v="27"/>
    <x v="0"/>
    <s v="HALIM"/>
    <s v="N25-0038/48"/>
    <x v="0"/>
    <n v="4"/>
    <n v="0"/>
    <m/>
    <x v="0"/>
    <x v="0"/>
    <m/>
    <x v="0"/>
    <m/>
    <x v="0"/>
  </r>
  <r>
    <x v="5"/>
    <x v="1"/>
    <x v="27"/>
    <x v="0"/>
    <s v="HALIM"/>
    <s v="N25-0018/11"/>
    <x v="0"/>
    <n v="9"/>
    <n v="0"/>
    <m/>
    <x v="0"/>
    <x v="0"/>
    <m/>
    <x v="0"/>
    <m/>
    <x v="0"/>
  </r>
  <r>
    <x v="5"/>
    <x v="1"/>
    <x v="27"/>
    <x v="0"/>
    <s v="HALIM"/>
    <s v="N25-0289/15"/>
    <x v="0"/>
    <n v="21"/>
    <n v="0"/>
    <m/>
    <x v="0"/>
    <x v="0"/>
    <m/>
    <x v="0"/>
    <m/>
    <x v="0"/>
  </r>
  <r>
    <x v="5"/>
    <x v="1"/>
    <x v="27"/>
    <x v="0"/>
    <s v="HALIM"/>
    <s v="N25-0043/6"/>
    <x v="0"/>
    <n v="6"/>
    <n v="0"/>
    <m/>
    <x v="0"/>
    <x v="0"/>
    <m/>
    <x v="0"/>
    <m/>
    <x v="0"/>
  </r>
  <r>
    <x v="5"/>
    <x v="1"/>
    <x v="27"/>
    <x v="0"/>
    <s v="HALIM"/>
    <s v="N25-0018/6"/>
    <x v="0"/>
    <n v="6"/>
    <n v="0"/>
    <m/>
    <x v="0"/>
    <x v="0"/>
    <m/>
    <x v="0"/>
    <m/>
    <x v="0"/>
  </r>
  <r>
    <x v="5"/>
    <x v="1"/>
    <x v="27"/>
    <x v="0"/>
    <s v="HALIM"/>
    <s v="N25-0289/2"/>
    <x v="0"/>
    <n v="14"/>
    <n v="0"/>
    <m/>
    <x v="0"/>
    <x v="0"/>
    <m/>
    <x v="0"/>
    <m/>
    <x v="0"/>
  </r>
  <r>
    <x v="5"/>
    <x v="1"/>
    <x v="27"/>
    <x v="0"/>
    <s v="HALIM"/>
    <s v="N25-0043/2"/>
    <x v="0"/>
    <n v="7"/>
    <n v="0"/>
    <m/>
    <x v="0"/>
    <x v="0"/>
    <m/>
    <x v="0"/>
    <m/>
    <x v="0"/>
  </r>
  <r>
    <x v="5"/>
    <x v="1"/>
    <x v="27"/>
    <x v="0"/>
    <s v="HALIM"/>
    <s v="N25-0040/1"/>
    <x v="1"/>
    <n v="1"/>
    <n v="1"/>
    <s v="P1"/>
    <x v="3"/>
    <x v="1"/>
    <n v="251764"/>
    <x v="1"/>
    <s v="douille serré"/>
    <x v="3"/>
  </r>
  <r>
    <x v="5"/>
    <x v="1"/>
    <x v="27"/>
    <x v="0"/>
    <s v="HALIM"/>
    <s v="N25-0015/5"/>
    <x v="1"/>
    <n v="1"/>
    <n v="1"/>
    <s v="B1"/>
    <x v="2"/>
    <x v="4"/>
    <n v="251765"/>
    <x v="2"/>
    <s v="Prog non conforme"/>
    <x v="2"/>
  </r>
  <r>
    <x v="5"/>
    <x v="1"/>
    <x v="27"/>
    <x v="0"/>
    <s v="Ben Abdessamad Hassen"/>
    <s v="N26-0028/1"/>
    <x v="0"/>
    <n v="3"/>
    <n v="0"/>
    <m/>
    <x v="0"/>
    <x v="0"/>
    <m/>
    <x v="0"/>
    <m/>
    <x v="0"/>
  </r>
  <r>
    <x v="5"/>
    <x v="1"/>
    <x v="27"/>
    <x v="0"/>
    <s v="Ben Abdessamad Hassen"/>
    <s v="N26-0042/2"/>
    <x v="0"/>
    <n v="12"/>
    <n v="0"/>
    <m/>
    <x v="0"/>
    <x v="0"/>
    <m/>
    <x v="0"/>
    <m/>
    <x v="0"/>
  </r>
  <r>
    <x v="5"/>
    <x v="1"/>
    <x v="27"/>
    <x v="0"/>
    <s v="Ben Abdessamad Hassen"/>
    <s v="N26-0040/1"/>
    <x v="1"/>
    <n v="5"/>
    <n v="0"/>
    <m/>
    <x v="0"/>
    <x v="0"/>
    <m/>
    <x v="0"/>
    <m/>
    <x v="0"/>
  </r>
  <r>
    <x v="5"/>
    <x v="1"/>
    <x v="27"/>
    <x v="0"/>
    <s v="Ben Abdessamad Hassen"/>
    <s v="N26-0002/7"/>
    <x v="0"/>
    <n v="1"/>
    <n v="1"/>
    <s v="N1"/>
    <x v="1"/>
    <x v="4"/>
    <n v="251766"/>
    <x v="2"/>
    <m/>
    <x v="1"/>
  </r>
  <r>
    <x v="5"/>
    <x v="1"/>
    <x v="27"/>
    <x v="0"/>
    <s v="Ben Abdessamad Hassen"/>
    <s v="N25-0282/1"/>
    <x v="0"/>
    <n v="10"/>
    <n v="1"/>
    <s v="P1"/>
    <x v="1"/>
    <x v="1"/>
    <n v="251767"/>
    <x v="1"/>
    <s v="Poche vérin+alésoire2+àlésoire3,5"/>
    <x v="1"/>
  </r>
  <r>
    <x v="5"/>
    <x v="1"/>
    <x v="27"/>
    <x v="0"/>
    <s v="Ben Abdessamad Hassen"/>
    <s v="N26-0015/1"/>
    <x v="1"/>
    <n v="1"/>
    <n v="1"/>
    <s v="P1"/>
    <x v="2"/>
    <x v="47"/>
    <n v="251768"/>
    <x v="2"/>
    <m/>
    <x v="2"/>
  </r>
  <r>
    <x v="5"/>
    <x v="1"/>
    <x v="27"/>
    <x v="0"/>
    <s v="Ben Abdessamad Hassen"/>
    <s v="N26-0019/16"/>
    <x v="0"/>
    <n v="21"/>
    <n v="1"/>
    <s v="B1"/>
    <x v="1"/>
    <x v="20"/>
    <n v="251669"/>
    <x v="2"/>
    <s v="Poche joint"/>
    <x v="1"/>
  </r>
  <r>
    <x v="5"/>
    <x v="1"/>
    <x v="27"/>
    <x v="0"/>
    <s v="Ben Abdessamad Hassen"/>
    <s v="N25-0289/18"/>
    <x v="0"/>
    <n v="5"/>
    <n v="0"/>
    <m/>
    <x v="0"/>
    <x v="0"/>
    <m/>
    <x v="0"/>
    <m/>
    <x v="0"/>
  </r>
  <r>
    <x v="5"/>
    <x v="1"/>
    <x v="27"/>
    <x v="0"/>
    <s v="Ben Abdessamad Hassen"/>
    <s v="N26-0051/5"/>
    <x v="0"/>
    <n v="2"/>
    <n v="1"/>
    <s v="P1"/>
    <x v="2"/>
    <x v="5"/>
    <n v="251670"/>
    <x v="1"/>
    <s v="Profondeur poche napp"/>
    <x v="2"/>
  </r>
  <r>
    <x v="5"/>
    <x v="1"/>
    <x v="27"/>
    <x v="1"/>
    <s v="Ammari Slim"/>
    <s v="N26-0018/11"/>
    <x v="0"/>
    <n v="8"/>
    <n v="1"/>
    <s v="N1"/>
    <x v="2"/>
    <x v="25"/>
    <n v="202302675"/>
    <x v="1"/>
    <s v="N1 (manque lamage+perçage)"/>
    <x v="2"/>
  </r>
  <r>
    <x v="5"/>
    <x v="1"/>
    <x v="27"/>
    <x v="1"/>
    <s v="Ammari Slim"/>
    <s v="N26-0001/36"/>
    <x v="1"/>
    <m/>
    <n v="1"/>
    <s v="N1"/>
    <x v="1"/>
    <x v="53"/>
    <n v="202302676"/>
    <x v="2"/>
    <s v="N1 à refaire"/>
    <x v="1"/>
  </r>
  <r>
    <x v="5"/>
    <x v="1"/>
    <x v="27"/>
    <x v="1"/>
    <s v="Ammari Slim"/>
    <s v="N26-0038/14"/>
    <x v="1"/>
    <n v="3"/>
    <n v="1"/>
    <s v="peek"/>
    <x v="3"/>
    <x v="39"/>
    <n v="202302677"/>
    <x v="3"/>
    <s v="modif PEEK"/>
    <x v="3"/>
  </r>
  <r>
    <x v="5"/>
    <x v="1"/>
    <x v="28"/>
    <x v="0"/>
    <s v="HALIM"/>
    <s v="N25-0042/6"/>
    <x v="0"/>
    <n v="2"/>
    <n v="0"/>
    <m/>
    <x v="0"/>
    <x v="0"/>
    <m/>
    <x v="0"/>
    <m/>
    <x v="0"/>
  </r>
  <r>
    <x v="5"/>
    <x v="1"/>
    <x v="28"/>
    <x v="0"/>
    <s v="HALIM"/>
    <s v="N25-0019/10"/>
    <x v="1"/>
    <n v="3"/>
    <n v="1"/>
    <s v="N1"/>
    <x v="2"/>
    <x v="8"/>
    <n v="251671"/>
    <x v="2"/>
    <s v="2 h7 au lieu de 3H7"/>
    <x v="2"/>
  </r>
  <r>
    <x v="5"/>
    <x v="1"/>
    <x v="28"/>
    <x v="0"/>
    <s v="HALIM"/>
    <s v="N25-0051/5"/>
    <x v="0"/>
    <n v="10"/>
    <n v="0"/>
    <m/>
    <x v="0"/>
    <x v="0"/>
    <m/>
    <x v="0"/>
    <m/>
    <x v="0"/>
  </r>
  <r>
    <x v="5"/>
    <x v="1"/>
    <x v="28"/>
    <x v="0"/>
    <s v="HALIM"/>
    <s v="N25-0047/3"/>
    <x v="1"/>
    <n v="5"/>
    <n v="0"/>
    <m/>
    <x v="0"/>
    <x v="0"/>
    <m/>
    <x v="0"/>
    <m/>
    <x v="0"/>
  </r>
  <r>
    <x v="5"/>
    <x v="1"/>
    <x v="28"/>
    <x v="0"/>
    <s v="HALIM"/>
    <s v="N25-0051/3"/>
    <x v="0"/>
    <n v="12"/>
    <n v="0"/>
    <m/>
    <x v="0"/>
    <x v="0"/>
    <m/>
    <x v="0"/>
    <m/>
    <x v="0"/>
  </r>
  <r>
    <x v="5"/>
    <x v="1"/>
    <x v="28"/>
    <x v="0"/>
    <s v="HALIM"/>
    <s v="N25-0018/3"/>
    <x v="0"/>
    <n v="50"/>
    <n v="0"/>
    <m/>
    <x v="0"/>
    <x v="0"/>
    <m/>
    <x v="0"/>
    <m/>
    <x v="0"/>
  </r>
  <r>
    <x v="5"/>
    <x v="1"/>
    <x v="28"/>
    <x v="0"/>
    <s v="HALIM"/>
    <s v="N25-0038/13"/>
    <x v="0"/>
    <n v="12"/>
    <n v="0"/>
    <m/>
    <x v="0"/>
    <x v="0"/>
    <m/>
    <x v="0"/>
    <m/>
    <x v="0"/>
  </r>
  <r>
    <x v="5"/>
    <x v="1"/>
    <x v="28"/>
    <x v="0"/>
    <s v="HALIM"/>
    <s v="N25-0046/1"/>
    <x v="1"/>
    <n v="11"/>
    <n v="1"/>
    <s v="D1"/>
    <x v="8"/>
    <x v="21"/>
    <n v="251672"/>
    <x v="4"/>
    <s v="qts *2"/>
    <x v="6"/>
  </r>
  <r>
    <x v="5"/>
    <x v="1"/>
    <x v="28"/>
    <x v="0"/>
    <s v="HALIM"/>
    <s v="N25-0029/12"/>
    <x v="1"/>
    <n v="8"/>
    <n v="0"/>
    <m/>
    <x v="0"/>
    <x v="0"/>
    <m/>
    <x v="0"/>
    <m/>
    <x v="0"/>
  </r>
  <r>
    <x v="5"/>
    <x v="1"/>
    <x v="28"/>
    <x v="0"/>
    <s v="HALIM"/>
    <s v="N25-0053/2"/>
    <x v="0"/>
    <n v="3"/>
    <n v="0"/>
    <m/>
    <x v="0"/>
    <x v="0"/>
    <m/>
    <x v="0"/>
    <m/>
    <x v="0"/>
  </r>
  <r>
    <x v="5"/>
    <x v="1"/>
    <x v="28"/>
    <x v="0"/>
    <s v="Ben Abdessamad Hassen"/>
    <s v="N26-0029/22"/>
    <x v="0"/>
    <n v="24"/>
    <n v="1"/>
    <s v="P2"/>
    <x v="1"/>
    <x v="54"/>
    <n v="251673"/>
    <x v="1"/>
    <m/>
    <x v="1"/>
  </r>
  <r>
    <x v="5"/>
    <x v="1"/>
    <x v="28"/>
    <x v="0"/>
    <s v="Ben Abdessamad Hassen"/>
    <s v="N26-0046/2"/>
    <x v="1"/>
    <n v="4"/>
    <n v="0"/>
    <m/>
    <x v="0"/>
    <x v="0"/>
    <m/>
    <x v="0"/>
    <m/>
    <x v="0"/>
  </r>
  <r>
    <x v="5"/>
    <x v="1"/>
    <x v="28"/>
    <x v="0"/>
    <s v="Ben Abdessamad Hassen"/>
    <s v="N26-0001/37"/>
    <x v="0"/>
    <n v="54"/>
    <n v="1"/>
    <s v="P2"/>
    <x v="1"/>
    <x v="54"/>
    <n v="251674"/>
    <x v="1"/>
    <m/>
    <x v="1"/>
  </r>
  <r>
    <x v="5"/>
    <x v="1"/>
    <x v="28"/>
    <x v="0"/>
    <s v="Ben Abdessamad Hassen"/>
    <s v="N26-0019/5"/>
    <x v="0"/>
    <n v="24"/>
    <n v="1"/>
    <s v="B1"/>
    <x v="1"/>
    <x v="20"/>
    <n v="251675"/>
    <x v="2"/>
    <s v="Poche joint"/>
    <x v="1"/>
  </r>
  <r>
    <x v="5"/>
    <x v="1"/>
    <x v="28"/>
    <x v="1"/>
    <s v="Ammari Slim"/>
    <s v="N25-0293/21"/>
    <x v="1"/>
    <m/>
    <n v="1"/>
    <s v="P1 + B1"/>
    <x v="3"/>
    <x v="39"/>
    <n v="202302679"/>
    <x v="1"/>
    <s v="modif sur (P1+B1)"/>
    <x v="3"/>
  </r>
  <r>
    <x v="5"/>
    <x v="1"/>
    <x v="28"/>
    <x v="1"/>
    <s v="Ammari Slim"/>
    <s v="N26-0001/36"/>
    <x v="1"/>
    <m/>
    <n v="1"/>
    <s v="B1"/>
    <x v="3"/>
    <x v="1"/>
    <n v="202302680"/>
    <x v="1"/>
    <s v="modif sur (P1+B1)"/>
    <x v="3"/>
  </r>
  <r>
    <x v="5"/>
    <x v="1"/>
    <x v="28"/>
    <x v="2"/>
    <s v="Ammari Slim"/>
    <s v="N25-0289/19"/>
    <x v="1"/>
    <m/>
    <n v="1"/>
    <s v="N1+B2 et B3"/>
    <x v="3"/>
    <x v="39"/>
    <n v="202302681"/>
    <x v="1"/>
    <s v="refaire et modif sur pièces"/>
    <x v="3"/>
  </r>
  <r>
    <x v="5"/>
    <x v="1"/>
    <x v="28"/>
    <x v="2"/>
    <s v="Ammari Slim"/>
    <s v="N26-0032/01"/>
    <x v="1"/>
    <n v="5"/>
    <n v="1"/>
    <m/>
    <x v="10"/>
    <x v="24"/>
    <n v="202302682"/>
    <x v="4"/>
    <s v="shalter endommagé"/>
    <x v="5"/>
  </r>
  <r>
    <x v="5"/>
    <x v="1"/>
    <x v="28"/>
    <x v="1"/>
    <m/>
    <m/>
    <x v="0"/>
    <n v="29"/>
    <n v="0"/>
    <m/>
    <x v="0"/>
    <x v="0"/>
    <m/>
    <x v="0"/>
    <m/>
    <x v="0"/>
  </r>
  <r>
    <x v="5"/>
    <x v="1"/>
    <x v="29"/>
    <x v="0"/>
    <s v="HALIM"/>
    <s v="N25-0042/4"/>
    <x v="0"/>
    <n v="7"/>
    <n v="0"/>
    <m/>
    <x v="0"/>
    <x v="0"/>
    <m/>
    <x v="0"/>
    <m/>
    <x v="0"/>
  </r>
  <r>
    <x v="5"/>
    <x v="1"/>
    <x v="29"/>
    <x v="0"/>
    <s v="HALIM"/>
    <s v="N25-0019/11"/>
    <x v="0"/>
    <n v="15"/>
    <n v="0"/>
    <m/>
    <x v="0"/>
    <x v="0"/>
    <m/>
    <x v="0"/>
    <m/>
    <x v="0"/>
  </r>
  <r>
    <x v="5"/>
    <x v="1"/>
    <x v="29"/>
    <x v="0"/>
    <s v="HALIM"/>
    <s v="N25-0019/17"/>
    <x v="0"/>
    <n v="49"/>
    <n v="1"/>
    <s v="psd "/>
    <x v="6"/>
    <x v="41"/>
    <n v="251776"/>
    <x v="1"/>
    <s v="mnq modif"/>
    <x v="1"/>
  </r>
  <r>
    <x v="5"/>
    <x v="1"/>
    <x v="29"/>
    <x v="0"/>
    <s v="HALIM"/>
    <s v="N25-0015/5"/>
    <x v="1"/>
    <n v="1"/>
    <n v="0"/>
    <m/>
    <x v="0"/>
    <x v="0"/>
    <m/>
    <x v="0"/>
    <m/>
    <x v="0"/>
  </r>
  <r>
    <x v="5"/>
    <x v="1"/>
    <x v="29"/>
    <x v="0"/>
    <s v="HALIM"/>
    <s v="N25-0019/10"/>
    <x v="1"/>
    <n v="1"/>
    <n v="0"/>
    <m/>
    <x v="0"/>
    <x v="0"/>
    <m/>
    <x v="0"/>
    <m/>
    <x v="0"/>
  </r>
  <r>
    <x v="5"/>
    <x v="1"/>
    <x v="29"/>
    <x v="0"/>
    <s v="HALIM"/>
    <s v="N25-0023/1"/>
    <x v="1"/>
    <n v="10"/>
    <n v="0"/>
    <m/>
    <x v="0"/>
    <x v="0"/>
    <m/>
    <x v="0"/>
    <m/>
    <x v="0"/>
  </r>
  <r>
    <x v="5"/>
    <x v="1"/>
    <x v="29"/>
    <x v="0"/>
    <s v="HALIM"/>
    <s v="N25-0042/1"/>
    <x v="0"/>
    <n v="8"/>
    <n v="0"/>
    <m/>
    <x v="0"/>
    <x v="0"/>
    <m/>
    <x v="0"/>
    <m/>
    <x v="0"/>
  </r>
  <r>
    <x v="5"/>
    <x v="1"/>
    <x v="29"/>
    <x v="0"/>
    <s v="Ben Abdessamad Hassen"/>
    <s v="N26-0035/4"/>
    <x v="1"/>
    <n v="5"/>
    <n v="1"/>
    <s v="N1"/>
    <x v="1"/>
    <x v="8"/>
    <n v="251777"/>
    <x v="2"/>
    <s v="Pérçage 3,5H 7  au lieu de 3H7"/>
    <x v="1"/>
  </r>
  <r>
    <x v="5"/>
    <x v="1"/>
    <x v="29"/>
    <x v="0"/>
    <s v="Ben Abdessamad Hassen"/>
    <s v="N25-0293/6"/>
    <x v="0"/>
    <n v="6"/>
    <n v="0"/>
    <m/>
    <x v="0"/>
    <x v="0"/>
    <m/>
    <x v="0"/>
    <m/>
    <x v="0"/>
  </r>
  <r>
    <x v="5"/>
    <x v="1"/>
    <x v="29"/>
    <x v="0"/>
    <s v="Ben Abdessamad Hassen"/>
    <s v="N26-0001/32"/>
    <x v="0"/>
    <n v="36"/>
    <n v="1"/>
    <s v="P1"/>
    <x v="2"/>
    <x v="20"/>
    <n v="251778"/>
    <x v="2"/>
    <s v="Poche pour cuivre"/>
    <x v="2"/>
  </r>
  <r>
    <x v="5"/>
    <x v="1"/>
    <x v="29"/>
    <x v="0"/>
    <s v="Ben Abdessamad Hassen"/>
    <s v="N26-0033/1"/>
    <x v="0"/>
    <n v="20"/>
    <n v="1"/>
    <s v="P1"/>
    <x v="2"/>
    <x v="41"/>
    <n v="251779"/>
    <x v="1"/>
    <m/>
    <x v="2"/>
  </r>
  <r>
    <x v="5"/>
    <x v="1"/>
    <x v="29"/>
    <x v="0"/>
    <s v="Ben Abdessamad Hassen"/>
    <s v="N26-0032/1"/>
    <x v="0"/>
    <n v="32"/>
    <n v="0"/>
    <m/>
    <x v="0"/>
    <x v="0"/>
    <m/>
    <x v="0"/>
    <m/>
    <x v="0"/>
  </r>
  <r>
    <x v="5"/>
    <x v="1"/>
    <x v="29"/>
    <x v="2"/>
    <s v="Ammari Slim"/>
    <s v="N26-0046/01"/>
    <x v="1"/>
    <m/>
    <n v="1"/>
    <s v="S1"/>
    <x v="3"/>
    <x v="44"/>
    <n v="202302683"/>
    <x v="2"/>
    <s v="refaire S1"/>
    <x v="3"/>
  </r>
  <r>
    <x v="5"/>
    <x v="1"/>
    <x v="29"/>
    <x v="2"/>
    <s v="Ammari Slim"/>
    <s v="N25-0274/37"/>
    <x v="1"/>
    <m/>
    <n v="1"/>
    <s v="S1"/>
    <x v="3"/>
    <x v="32"/>
    <n v="202302684"/>
    <x v="1"/>
    <s v="modif sur S1"/>
    <x v="3"/>
  </r>
  <r>
    <x v="5"/>
    <x v="1"/>
    <x v="29"/>
    <x v="1"/>
    <s v="Ammari Slim"/>
    <s v="N25-0046/02"/>
    <x v="1"/>
    <n v="5"/>
    <n v="1"/>
    <s v="P1+P2+P3"/>
    <x v="3"/>
    <x v="39"/>
    <n v="202302685"/>
    <x v="1"/>
    <s v="Modif sur(P1+P2+P3)"/>
    <x v="3"/>
  </r>
  <r>
    <x v="5"/>
    <x v="1"/>
    <x v="29"/>
    <x v="1"/>
    <s v="Ammari Slim"/>
    <s v="N25-0002/09"/>
    <x v="0"/>
    <n v="24"/>
    <n v="1"/>
    <s v="P1"/>
    <x v="10"/>
    <x v="48"/>
    <n v="202302686"/>
    <x v="2"/>
    <s v="P1 (endommagement du pièces)"/>
    <x v="4"/>
  </r>
  <r>
    <x v="5"/>
    <x v="1"/>
    <x v="30"/>
    <x v="0"/>
    <s v="HALIM"/>
    <s v="N26-0054/1"/>
    <x v="1"/>
    <n v="5"/>
    <n v="0"/>
    <m/>
    <x v="0"/>
    <x v="0"/>
    <m/>
    <x v="0"/>
    <m/>
    <x v="0"/>
  </r>
  <r>
    <x v="5"/>
    <x v="1"/>
    <x v="30"/>
    <x v="0"/>
    <s v="HALIM"/>
    <s v="N26-0028/2"/>
    <x v="1"/>
    <n v="7"/>
    <n v="1"/>
    <s v="SOCLE"/>
    <x v="1"/>
    <x v="18"/>
    <n v="251780"/>
    <x v="1"/>
    <s v="mnq modif"/>
    <x v="1"/>
  </r>
  <r>
    <x v="5"/>
    <x v="1"/>
    <x v="30"/>
    <x v="0"/>
    <s v="HALIM"/>
    <s v="N26-0051/4"/>
    <x v="0"/>
    <n v="8"/>
    <n v="0"/>
    <m/>
    <x v="0"/>
    <x v="0"/>
    <m/>
    <x v="0"/>
    <m/>
    <x v="0"/>
  </r>
  <r>
    <x v="5"/>
    <x v="1"/>
    <x v="30"/>
    <x v="0"/>
    <s v="HALIM"/>
    <s v="N26-0019/6"/>
    <x v="0"/>
    <n v="36"/>
    <n v="0"/>
    <m/>
    <x v="0"/>
    <x v="0"/>
    <m/>
    <x v="0"/>
    <m/>
    <x v="0"/>
  </r>
  <r>
    <x v="5"/>
    <x v="1"/>
    <x v="30"/>
    <x v="0"/>
    <s v="HALIM"/>
    <s v="N26-0055/25"/>
    <x v="0"/>
    <n v="5"/>
    <n v="1"/>
    <s v="psd "/>
    <x v="1"/>
    <x v="41"/>
    <n v="251781"/>
    <x v="1"/>
    <s v="mnq modif"/>
    <x v="1"/>
  </r>
  <r>
    <x v="5"/>
    <x v="1"/>
    <x v="30"/>
    <x v="0"/>
    <s v="HALIM"/>
    <s v="N26-0042/3"/>
    <x v="0"/>
    <n v="7"/>
    <n v="0"/>
    <m/>
    <x v="0"/>
    <x v="0"/>
    <m/>
    <x v="0"/>
    <m/>
    <x v="0"/>
  </r>
  <r>
    <x v="5"/>
    <x v="1"/>
    <x v="30"/>
    <x v="0"/>
    <s v="HALIM"/>
    <s v="N26-0029/6"/>
    <x v="1"/>
    <n v="3"/>
    <n v="0"/>
    <m/>
    <x v="0"/>
    <x v="0"/>
    <m/>
    <x v="0"/>
    <m/>
    <x v="0"/>
  </r>
  <r>
    <x v="5"/>
    <x v="1"/>
    <x v="30"/>
    <x v="0"/>
    <s v="Ben Abdessamad Hassen"/>
    <s v="N26-0019/19"/>
    <x v="0"/>
    <n v="48"/>
    <n v="1"/>
    <s v="B1"/>
    <x v="1"/>
    <x v="14"/>
    <n v="251782"/>
    <x v="2"/>
    <m/>
    <x v="1"/>
  </r>
  <r>
    <x v="5"/>
    <x v="1"/>
    <x v="30"/>
    <x v="0"/>
    <s v="Ben Abdessamad Hassen"/>
    <s v="N25-0287/51"/>
    <x v="1"/>
    <n v="9"/>
    <n v="0"/>
    <m/>
    <x v="0"/>
    <x v="0"/>
    <m/>
    <x v="0"/>
    <m/>
    <x v="0"/>
  </r>
  <r>
    <x v="5"/>
    <x v="1"/>
    <x v="30"/>
    <x v="0"/>
    <s v="Ben Abdessamad Hassen"/>
    <s v="N26-0019/13"/>
    <x v="0"/>
    <n v="8"/>
    <n v="1"/>
    <s v="N1"/>
    <x v="6"/>
    <x v="34"/>
    <n v="251783"/>
    <x v="1"/>
    <m/>
    <x v="1"/>
  </r>
  <r>
    <x v="5"/>
    <x v="1"/>
    <x v="30"/>
    <x v="2"/>
    <s v="Ammari Slim"/>
    <s v="N26-0029/04"/>
    <x v="0"/>
    <m/>
    <n v="1"/>
    <s v="Shtift"/>
    <x v="3"/>
    <x v="26"/>
    <n v="202302687"/>
    <x v="4"/>
    <s v="choix des pinns incorrect"/>
    <x v="3"/>
  </r>
  <r>
    <x v="5"/>
    <x v="1"/>
    <x v="30"/>
    <x v="1"/>
    <s v="Ammari Slim"/>
    <s v="N26-0019/10"/>
    <x v="1"/>
    <n v="5"/>
    <n v="1"/>
    <s v="P1"/>
    <x v="2"/>
    <x v="25"/>
    <n v="202302688"/>
    <x v="1"/>
    <s v="P1 à refaire"/>
    <x v="2"/>
  </r>
  <r>
    <x v="5"/>
    <x v="1"/>
    <x v="30"/>
    <x v="1"/>
    <s v="Ammari Slim"/>
    <s v="N26-0019/06"/>
    <x v="0"/>
    <n v="39"/>
    <n v="1"/>
    <s v="Bague"/>
    <x v="10"/>
    <x v="24"/>
    <n v="202302689"/>
    <x v="4"/>
    <s v="2 bagues+2 shtift"/>
    <x v="4"/>
  </r>
  <r>
    <x v="6"/>
    <x v="1"/>
    <x v="31"/>
    <x v="0"/>
    <s v="Ben Abdessamad Hassen"/>
    <s v="N26-0049/2"/>
    <x v="0"/>
    <n v="4"/>
    <n v="0"/>
    <m/>
    <x v="0"/>
    <x v="0"/>
    <m/>
    <x v="0"/>
    <m/>
    <x v="0"/>
  </r>
  <r>
    <x v="6"/>
    <x v="1"/>
    <x v="31"/>
    <x v="0"/>
    <s v="Ben Abdessamad Hassen"/>
    <s v="N26-0055/29"/>
    <x v="0"/>
    <n v="18"/>
    <n v="1"/>
    <s v="P1"/>
    <x v="1"/>
    <x v="1"/>
    <n v="251784"/>
    <x v="1"/>
    <m/>
    <x v="1"/>
  </r>
  <r>
    <x v="6"/>
    <x v="1"/>
    <x v="31"/>
    <x v="0"/>
    <s v="Ben Abdessamad Hassen"/>
    <s v="N26-0019/14"/>
    <x v="0"/>
    <n v="35"/>
    <m/>
    <m/>
    <x v="0"/>
    <x v="0"/>
    <m/>
    <x v="0"/>
    <m/>
    <x v="0"/>
  </r>
  <r>
    <x v="6"/>
    <x v="1"/>
    <x v="31"/>
    <x v="0"/>
    <s v="Ben Abdessamad Hassen"/>
    <s v="N26-0019/7"/>
    <x v="0"/>
    <n v="6"/>
    <n v="0"/>
    <m/>
    <x v="0"/>
    <x v="0"/>
    <m/>
    <x v="0"/>
    <m/>
    <x v="0"/>
  </r>
  <r>
    <x v="6"/>
    <x v="1"/>
    <x v="31"/>
    <x v="0"/>
    <s v="Ben Abdessamad Hassen"/>
    <s v="N26-0051/1"/>
    <x v="0"/>
    <n v="28"/>
    <n v="1"/>
    <s v="B2 "/>
    <x v="1"/>
    <x v="4"/>
    <n v="251785"/>
    <x v="2"/>
    <m/>
    <x v="1"/>
  </r>
  <r>
    <x v="6"/>
    <x v="1"/>
    <x v="31"/>
    <x v="0"/>
    <s v="Ben Abdessamad Hassen"/>
    <s v="N25-0287/20"/>
    <x v="1"/>
    <n v="10"/>
    <n v="1"/>
    <s v="P1"/>
    <x v="3"/>
    <x v="45"/>
    <n v="251787"/>
    <x v="1"/>
    <m/>
    <x v="3"/>
  </r>
  <r>
    <x v="6"/>
    <x v="1"/>
    <x v="31"/>
    <x v="0"/>
    <s v="Ben Abdessamad Hassen"/>
    <s v="N25-0287/20"/>
    <x v="1"/>
    <m/>
    <n v="1"/>
    <s v="B1"/>
    <x v="1"/>
    <x v="20"/>
    <n v="251788"/>
    <x v="2"/>
    <m/>
    <x v="1"/>
  </r>
  <r>
    <x v="6"/>
    <x v="1"/>
    <x v="31"/>
    <x v="0"/>
    <s v="Ben Abdessamad Hassen"/>
    <s v="N26-0041/1"/>
    <x v="1"/>
    <n v="10"/>
    <n v="0"/>
    <m/>
    <x v="0"/>
    <x v="0"/>
    <m/>
    <x v="0"/>
    <m/>
    <x v="0"/>
  </r>
  <r>
    <x v="6"/>
    <x v="1"/>
    <x v="31"/>
    <x v="0"/>
    <s v="Ben Abdessamad Hassen"/>
    <s v="N26-0049/4"/>
    <x v="0"/>
    <n v="4"/>
    <n v="0"/>
    <m/>
    <x v="0"/>
    <x v="0"/>
    <m/>
    <x v="0"/>
    <m/>
    <x v="0"/>
  </r>
  <r>
    <x v="6"/>
    <x v="1"/>
    <x v="31"/>
    <x v="0"/>
    <s v="Ben Abdessamad Hassen"/>
    <s v="N25-0274/7"/>
    <x v="1"/>
    <n v="5"/>
    <n v="1"/>
    <s v="N 1"/>
    <x v="2"/>
    <x v="47"/>
    <n v="251789"/>
    <x v="1"/>
    <s v="Chenfrein non conforme"/>
    <x v="2"/>
  </r>
  <r>
    <x v="6"/>
    <x v="1"/>
    <x v="31"/>
    <x v="0"/>
    <s v="HALIM"/>
    <s v="N26-0056/4"/>
    <x v="1"/>
    <n v="3"/>
    <n v="0"/>
    <m/>
    <x v="0"/>
    <x v="0"/>
    <m/>
    <x v="0"/>
    <m/>
    <x v="0"/>
  </r>
  <r>
    <x v="6"/>
    <x v="1"/>
    <x v="31"/>
    <x v="0"/>
    <s v="HALIM"/>
    <s v="N26-0049/3"/>
    <x v="0"/>
    <n v="4"/>
    <n v="0"/>
    <m/>
    <x v="0"/>
    <x v="0"/>
    <m/>
    <x v="0"/>
    <m/>
    <x v="0"/>
  </r>
  <r>
    <x v="6"/>
    <x v="1"/>
    <x v="31"/>
    <x v="0"/>
    <s v="HALIM"/>
    <s v="N26-0274/130"/>
    <x v="1"/>
    <n v="5"/>
    <n v="0"/>
    <m/>
    <x v="0"/>
    <x v="0"/>
    <m/>
    <x v="0"/>
    <m/>
    <x v="0"/>
  </r>
  <r>
    <x v="6"/>
    <x v="1"/>
    <x v="31"/>
    <x v="0"/>
    <s v="HALIM"/>
    <s v="N26-0029/8"/>
    <x v="1"/>
    <n v="7"/>
    <n v="0"/>
    <m/>
    <x v="0"/>
    <x v="0"/>
    <m/>
    <x v="0"/>
    <m/>
    <x v="0"/>
  </r>
  <r>
    <x v="6"/>
    <x v="1"/>
    <x v="31"/>
    <x v="0"/>
    <s v="HALIM"/>
    <s v="N26-0055/37"/>
    <x v="0"/>
    <n v="45"/>
    <n v="1"/>
    <s v="P2"/>
    <x v="1"/>
    <x v="8"/>
    <n v="251790"/>
    <x v="2"/>
    <s v="Pérçage 2 H7 incorrecte"/>
    <x v="1"/>
  </r>
  <r>
    <x v="6"/>
    <x v="1"/>
    <x v="31"/>
    <x v="0"/>
    <s v="HALIM"/>
    <s v="N26-0055/22"/>
    <x v="0"/>
    <n v="4"/>
    <n v="0"/>
    <m/>
    <x v="0"/>
    <x v="0"/>
    <m/>
    <x v="0"/>
    <m/>
    <x v="0"/>
  </r>
  <r>
    <x v="6"/>
    <x v="1"/>
    <x v="31"/>
    <x v="0"/>
    <s v="HALIM"/>
    <s v="N26-0029/12"/>
    <x v="0"/>
    <n v="25"/>
    <n v="1"/>
    <s v="P1"/>
    <x v="1"/>
    <x v="1"/>
    <n v="251791"/>
    <x v="1"/>
    <s v="Poche pour lamage incorrecte"/>
    <x v="1"/>
  </r>
  <r>
    <x v="6"/>
    <x v="1"/>
    <x v="31"/>
    <x v="1"/>
    <s v="Ammari Slim"/>
    <s v="N26-0019/13"/>
    <x v="0"/>
    <m/>
    <n v="1"/>
    <s v=" bagues"/>
    <x v="10"/>
    <x v="24"/>
    <n v="202302690"/>
    <x v="4"/>
    <s v=" bagues"/>
    <x v="4"/>
  </r>
  <r>
    <x v="6"/>
    <x v="1"/>
    <x v="31"/>
    <x v="1"/>
    <s v="Ammari Slim"/>
    <s v="N26-0019/14"/>
    <x v="0"/>
    <n v="37"/>
    <n v="1"/>
    <s v="P1"/>
    <x v="1"/>
    <x v="51"/>
    <n v="202302691"/>
    <x v="2"/>
    <s v="P1 à refaire"/>
    <x v="1"/>
  </r>
  <r>
    <x v="6"/>
    <x v="1"/>
    <x v="31"/>
    <x v="1"/>
    <s v="Ammari Slim"/>
    <s v="N26-0054/01"/>
    <x v="1"/>
    <n v="4"/>
    <n v="1"/>
    <s v="P1"/>
    <x v="3"/>
    <x v="38"/>
    <n v="202302692"/>
    <x v="1"/>
    <s v="modif sur P1"/>
    <x v="3"/>
  </r>
  <r>
    <x v="6"/>
    <x v="1"/>
    <x v="31"/>
    <x v="1"/>
    <s v="Ammari Slim"/>
    <s v="N26-0051/01"/>
    <x v="1"/>
    <m/>
    <n v="1"/>
    <s v="D1"/>
    <x v="3"/>
    <x v="39"/>
    <n v="202302693"/>
    <x v="2"/>
    <s v="Refaire D1"/>
    <x v="3"/>
  </r>
  <r>
    <x v="6"/>
    <x v="1"/>
    <x v="32"/>
    <x v="0"/>
    <s v="Ben Abdessamad Hassen"/>
    <s v="N26-0049/1"/>
    <x v="0"/>
    <n v="6"/>
    <n v="0"/>
    <m/>
    <x v="0"/>
    <x v="0"/>
    <m/>
    <x v="0"/>
    <m/>
    <x v="0"/>
  </r>
  <r>
    <x v="6"/>
    <x v="1"/>
    <x v="32"/>
    <x v="0"/>
    <s v="Ben Abdessamad Hassen"/>
    <s v="N26-0055/1"/>
    <x v="1"/>
    <n v="7"/>
    <n v="1"/>
    <s v="P1"/>
    <x v="2"/>
    <x v="13"/>
    <n v="251792"/>
    <x v="1"/>
    <s v="Pérçage D4 ,5 non conforme"/>
    <x v="2"/>
  </r>
  <r>
    <x v="6"/>
    <x v="1"/>
    <x v="32"/>
    <x v="0"/>
    <s v="Ben Abdessamad Hassen"/>
    <s v="N26-0055/1"/>
    <x v="1"/>
    <n v="7"/>
    <n v="1"/>
    <s v="N1"/>
    <x v="1"/>
    <x v="13"/>
    <n v="251793"/>
    <x v="1"/>
    <s v="Pérçage D4 non conforme"/>
    <x v="1"/>
  </r>
  <r>
    <x v="6"/>
    <x v="1"/>
    <x v="32"/>
    <x v="0"/>
    <s v="Ben Abdessamad Hassen"/>
    <s v="N26-0055/1"/>
    <x v="1"/>
    <n v="7"/>
    <n v="1"/>
    <s v="B2 "/>
    <x v="1"/>
    <x v="19"/>
    <n v="251794"/>
    <x v="1"/>
    <m/>
    <x v="1"/>
  </r>
  <r>
    <x v="6"/>
    <x v="1"/>
    <x v="32"/>
    <x v="0"/>
    <s v="Ben Abdessamad Hassen"/>
    <s v="N26-0055/1"/>
    <x v="1"/>
    <n v="7"/>
    <n v="1"/>
    <s v="Cover"/>
    <x v="2"/>
    <x v="4"/>
    <n v="251795"/>
    <x v="2"/>
    <m/>
    <x v="2"/>
  </r>
  <r>
    <x v="6"/>
    <x v="1"/>
    <x v="32"/>
    <x v="0"/>
    <s v="Ben Abdessamad Hassen"/>
    <s v="N26-0010/1"/>
    <x v="0"/>
    <n v="16"/>
    <n v="1"/>
    <s v="B1"/>
    <x v="1"/>
    <x v="3"/>
    <n v="251796"/>
    <x v="1"/>
    <s v="Poche clips"/>
    <x v="1"/>
  </r>
  <r>
    <x v="6"/>
    <x v="1"/>
    <x v="32"/>
    <x v="0"/>
    <s v="Ben Abdessamad Hassen"/>
    <s v="N26-0055/36"/>
    <x v="0"/>
    <n v="4"/>
    <n v="1"/>
    <s v="P1"/>
    <x v="1"/>
    <x v="14"/>
    <n v="251797"/>
    <x v="2"/>
    <s v="Face decalé"/>
    <x v="1"/>
  </r>
  <r>
    <x v="6"/>
    <x v="1"/>
    <x v="32"/>
    <x v="0"/>
    <s v="Wajdi chatti"/>
    <s v="N25-0274/1"/>
    <x v="1"/>
    <n v="5"/>
    <n v="0"/>
    <m/>
    <x v="0"/>
    <x v="0"/>
    <m/>
    <x v="0"/>
    <m/>
    <x v="0"/>
  </r>
  <r>
    <x v="6"/>
    <x v="1"/>
    <x v="32"/>
    <x v="0"/>
    <s v="Wajdi chatti"/>
    <s v="N26-0029/8"/>
    <x v="1"/>
    <n v="8"/>
    <n v="0"/>
    <m/>
    <x v="0"/>
    <x v="0"/>
    <m/>
    <x v="0"/>
    <m/>
    <x v="0"/>
  </r>
  <r>
    <x v="6"/>
    <x v="1"/>
    <x v="32"/>
    <x v="0"/>
    <s v="Wajdi chatti"/>
    <s v="N26-0055/36"/>
    <x v="0"/>
    <n v="27"/>
    <n v="0"/>
    <m/>
    <x v="0"/>
    <x v="0"/>
    <m/>
    <x v="0"/>
    <m/>
    <x v="0"/>
  </r>
  <r>
    <x v="6"/>
    <x v="1"/>
    <x v="32"/>
    <x v="0"/>
    <s v="Ben Abdessamad Hassen"/>
    <s v="N26-0055/7"/>
    <x v="1"/>
    <n v="9"/>
    <n v="1"/>
    <s v="P1"/>
    <x v="3"/>
    <x v="1"/>
    <n v="251799"/>
    <x v="1"/>
    <s v="PB : assemblage "/>
    <x v="3"/>
  </r>
  <r>
    <x v="6"/>
    <x v="1"/>
    <x v="32"/>
    <x v="0"/>
    <s v="Ben Abdessamad Hassen"/>
    <s v="N26-0055/24"/>
    <x v="0"/>
    <n v="6"/>
    <n v="1"/>
    <s v="P2"/>
    <x v="1"/>
    <x v="4"/>
    <n v="251800"/>
    <x v="2"/>
    <m/>
    <x v="1"/>
  </r>
  <r>
    <x v="6"/>
    <x v="1"/>
    <x v="32"/>
    <x v="0"/>
    <s v="Ben Abdessamad Hassen"/>
    <s v="N26-0055/33"/>
    <x v="0"/>
    <n v="15"/>
    <n v="0"/>
    <m/>
    <x v="0"/>
    <x v="0"/>
    <m/>
    <x v="0"/>
    <m/>
    <x v="0"/>
  </r>
  <r>
    <x v="6"/>
    <x v="1"/>
    <x v="32"/>
    <x v="0"/>
    <s v="HALIM"/>
    <s v="N26-0044/2"/>
    <x v="1"/>
    <n v="5"/>
    <n v="1"/>
    <s v="P1"/>
    <x v="6"/>
    <x v="41"/>
    <n v="251801"/>
    <x v="1"/>
    <s v="Mnq pérçage de fixation"/>
    <x v="2"/>
  </r>
  <r>
    <x v="6"/>
    <x v="1"/>
    <x v="32"/>
    <x v="0"/>
    <s v="HALIM"/>
    <s v="N26-0274/91"/>
    <x v="1"/>
    <n v="6"/>
    <n v="1"/>
    <s v="P4"/>
    <x v="8"/>
    <x v="21"/>
    <n v="251802"/>
    <x v="3"/>
    <s v="P4 mnq usinage"/>
    <x v="1"/>
  </r>
  <r>
    <x v="6"/>
    <x v="1"/>
    <x v="32"/>
    <x v="0"/>
    <s v="HALIM"/>
    <s v="N26-0029/11"/>
    <x v="0"/>
    <n v="10"/>
    <n v="0"/>
    <m/>
    <x v="0"/>
    <x v="0"/>
    <m/>
    <x v="0"/>
    <m/>
    <x v="0"/>
  </r>
  <r>
    <x v="6"/>
    <x v="1"/>
    <x v="32"/>
    <x v="0"/>
    <s v="HALIM"/>
    <s v="N26-0055/4"/>
    <x v="0"/>
    <n v="35"/>
    <m/>
    <s v="P1"/>
    <x v="1"/>
    <x v="1"/>
    <m/>
    <x v="1"/>
    <s v="Poche pour plexiglace"/>
    <x v="1"/>
  </r>
  <r>
    <x v="6"/>
    <x v="1"/>
    <x v="32"/>
    <x v="0"/>
    <s v="HALIM"/>
    <s v="N26-0029/6"/>
    <x v="1"/>
    <n v="1"/>
    <n v="1"/>
    <s v="P1"/>
    <x v="3"/>
    <x v="13"/>
    <n v="251803"/>
    <x v="1"/>
    <s v="PB : passage chalter"/>
    <x v="3"/>
  </r>
  <r>
    <x v="6"/>
    <x v="1"/>
    <x v="32"/>
    <x v="0"/>
    <s v="HALIM"/>
    <s v="N26-0050/3"/>
    <x v="0"/>
    <n v="8"/>
    <n v="0"/>
    <m/>
    <x v="0"/>
    <x v="0"/>
    <m/>
    <x v="0"/>
    <m/>
    <x v="0"/>
  </r>
  <r>
    <x v="6"/>
    <x v="1"/>
    <x v="32"/>
    <x v="0"/>
    <s v="HALIM"/>
    <s v="N26-0019/22"/>
    <x v="0"/>
    <n v="9"/>
    <n v="0"/>
    <m/>
    <x v="0"/>
    <x v="0"/>
    <m/>
    <x v="0"/>
    <m/>
    <x v="0"/>
  </r>
  <r>
    <x v="6"/>
    <x v="1"/>
    <x v="32"/>
    <x v="0"/>
    <s v="HALIM"/>
    <s v="N26-0050/2"/>
    <x v="0"/>
    <n v="10"/>
    <n v="0"/>
    <m/>
    <x v="0"/>
    <x v="0"/>
    <m/>
    <x v="0"/>
    <m/>
    <x v="0"/>
  </r>
  <r>
    <x v="6"/>
    <x v="1"/>
    <x v="32"/>
    <x v="1"/>
    <s v="Ammari Slim"/>
    <s v="N26-0055/36"/>
    <x v="0"/>
    <m/>
    <n v="1"/>
    <m/>
    <x v="11"/>
    <x v="46"/>
    <n v="202302695"/>
    <x v="2"/>
    <s v="manque centrage (ajout centrage)"/>
    <x v="2"/>
  </r>
  <r>
    <x v="6"/>
    <x v="1"/>
    <x v="32"/>
    <x v="1"/>
    <s v="Ammari Slim"/>
    <s v="N25-0274/130"/>
    <x v="1"/>
    <m/>
    <n v="1"/>
    <m/>
    <x v="11"/>
    <x v="39"/>
    <n v="202302696"/>
    <x v="1"/>
    <s v="Modif sur N1"/>
    <x v="3"/>
  </r>
  <r>
    <x v="6"/>
    <x v="1"/>
    <x v="32"/>
    <x v="1"/>
    <s v="Ammari Slim"/>
    <s v="N25-0274/07"/>
    <x v="1"/>
    <n v="4"/>
    <n v="1"/>
    <m/>
    <x v="11"/>
    <x v="44"/>
    <n v="202302697"/>
    <x v="1"/>
    <s v="Modif sur N1(manque fixation vérin)"/>
    <x v="3"/>
  </r>
  <r>
    <x v="6"/>
    <x v="1"/>
    <x v="32"/>
    <x v="1"/>
    <s v="Ammari Slim"/>
    <m/>
    <x v="0"/>
    <n v="30"/>
    <m/>
    <m/>
    <x v="0"/>
    <x v="0"/>
    <m/>
    <x v="0"/>
    <m/>
    <x v="0"/>
  </r>
  <r>
    <x v="6"/>
    <x v="1"/>
    <x v="33"/>
    <x v="0"/>
    <s v="Ben Abdessamad Hassen"/>
    <s v="N26-0036/5"/>
    <x v="0"/>
    <n v="7"/>
    <n v="1"/>
    <s v="N1"/>
    <x v="1"/>
    <x v="8"/>
    <n v="251804"/>
    <x v="2"/>
    <s v="Pérçage 5,8 non conforme"/>
    <x v="1"/>
  </r>
  <r>
    <x v="6"/>
    <x v="1"/>
    <x v="33"/>
    <x v="0"/>
    <s v="Ben Abdessamad Hassen"/>
    <s v="N26-0055/10"/>
    <x v="0"/>
    <n v="25"/>
    <n v="1"/>
    <s v="P3"/>
    <x v="6"/>
    <x v="33"/>
    <n v="251805"/>
    <x v="1"/>
    <m/>
    <x v="1"/>
  </r>
  <r>
    <x v="6"/>
    <x v="1"/>
    <x v="33"/>
    <x v="0"/>
    <s v="Ben Abdessamad Hassen"/>
    <s v="N26-0055/10"/>
    <x v="0"/>
    <m/>
    <n v="1"/>
    <s v="P2"/>
    <x v="1"/>
    <x v="12"/>
    <n v="251806"/>
    <x v="1"/>
    <s v="lamage non conforme"/>
    <x v="1"/>
  </r>
  <r>
    <x v="6"/>
    <x v="1"/>
    <x v="33"/>
    <x v="0"/>
    <s v="Ben Abdessamad Hassen"/>
    <s v="N26-0029/19"/>
    <x v="0"/>
    <n v="3"/>
    <n v="1"/>
    <s v="b1"/>
    <x v="3"/>
    <x v="1"/>
    <n v="251807"/>
    <x v="1"/>
    <s v="douille serré"/>
    <x v="3"/>
  </r>
  <r>
    <x v="6"/>
    <x v="1"/>
    <x v="33"/>
    <x v="0"/>
    <s v="Ben Abdessamad Hassen"/>
    <s v="N26-0050/1"/>
    <x v="1"/>
    <n v="5"/>
    <n v="1"/>
    <s v="P2"/>
    <x v="1"/>
    <x v="41"/>
    <n v="251807"/>
    <x v="1"/>
    <s v="Mnq chenfrien"/>
    <x v="1"/>
  </r>
  <r>
    <x v="6"/>
    <x v="1"/>
    <x v="33"/>
    <x v="0"/>
    <s v="Ben Abdessamad Hassen"/>
    <s v="N26-0029/15"/>
    <x v="0"/>
    <n v="40"/>
    <n v="0"/>
    <m/>
    <x v="0"/>
    <x v="0"/>
    <m/>
    <x v="0"/>
    <m/>
    <x v="0"/>
  </r>
  <r>
    <x v="6"/>
    <x v="1"/>
    <x v="33"/>
    <x v="0"/>
    <s v="Ben Abdessamad Hassen"/>
    <s v="N26-0018/23"/>
    <x v="1"/>
    <n v="6"/>
    <n v="0"/>
    <m/>
    <x v="0"/>
    <x v="0"/>
    <m/>
    <x v="0"/>
    <m/>
    <x v="0"/>
  </r>
  <r>
    <x v="6"/>
    <x v="1"/>
    <x v="33"/>
    <x v="0"/>
    <s v="Ben Abdessamad Hassen"/>
    <s v="N26-0044/2"/>
    <x v="1"/>
    <n v="5"/>
    <n v="0"/>
    <m/>
    <x v="0"/>
    <x v="0"/>
    <m/>
    <x v="0"/>
    <m/>
    <x v="0"/>
  </r>
  <r>
    <x v="6"/>
    <x v="1"/>
    <x v="33"/>
    <x v="0"/>
    <s v="Ben Abdessamad Hassen"/>
    <s v="N26-0039/5"/>
    <x v="0"/>
    <n v="2"/>
    <n v="0"/>
    <m/>
    <x v="0"/>
    <x v="0"/>
    <m/>
    <x v="0"/>
    <m/>
    <x v="0"/>
  </r>
  <r>
    <x v="6"/>
    <x v="1"/>
    <x v="33"/>
    <x v="0"/>
    <s v="Ben Abdessamad Hassen"/>
    <s v="N26-0036/8"/>
    <x v="0"/>
    <n v="7"/>
    <n v="1"/>
    <s v="B1"/>
    <x v="1"/>
    <x v="50"/>
    <n v="251808"/>
    <x v="1"/>
    <m/>
    <x v="1"/>
  </r>
  <r>
    <x v="6"/>
    <x v="1"/>
    <x v="33"/>
    <x v="0"/>
    <s v="Ben Abdessamad Hassen"/>
    <s v="N26-0055/23"/>
    <x v="1"/>
    <n v="4"/>
    <n v="0"/>
    <m/>
    <x v="0"/>
    <x v="0"/>
    <m/>
    <x v="0"/>
    <m/>
    <x v="0"/>
  </r>
  <r>
    <x v="6"/>
    <x v="1"/>
    <x v="33"/>
    <x v="0"/>
    <s v="Wajdi chatti"/>
    <s v="N26-0029/23"/>
    <x v="1"/>
    <n v="5"/>
    <n v="0"/>
    <m/>
    <x v="0"/>
    <x v="0"/>
    <m/>
    <x v="0"/>
    <m/>
    <x v="0"/>
  </r>
  <r>
    <x v="6"/>
    <x v="1"/>
    <x v="33"/>
    <x v="0"/>
    <s v="HALIM"/>
    <s v="N26-0043/8"/>
    <x v="1"/>
    <n v="4"/>
    <n v="0"/>
    <m/>
    <x v="0"/>
    <x v="0"/>
    <m/>
    <x v="0"/>
    <m/>
    <x v="0"/>
  </r>
  <r>
    <x v="6"/>
    <x v="1"/>
    <x v="33"/>
    <x v="0"/>
    <s v="HALIM"/>
    <s v="N26-0029/3"/>
    <x v="1"/>
    <n v="5"/>
    <n v="0"/>
    <m/>
    <x v="0"/>
    <x v="0"/>
    <m/>
    <x v="0"/>
    <m/>
    <x v="0"/>
  </r>
  <r>
    <x v="6"/>
    <x v="1"/>
    <x v="33"/>
    <x v="0"/>
    <s v="HALIM"/>
    <s v="N26-0047/1"/>
    <x v="1"/>
    <n v="5"/>
    <n v="0"/>
    <m/>
    <x v="0"/>
    <x v="0"/>
    <m/>
    <x v="0"/>
    <m/>
    <x v="0"/>
  </r>
  <r>
    <x v="6"/>
    <x v="1"/>
    <x v="33"/>
    <x v="0"/>
    <s v="HALIM"/>
    <s v="N26-0019/23"/>
    <x v="0"/>
    <n v="20"/>
    <n v="0"/>
    <m/>
    <x v="0"/>
    <x v="0"/>
    <m/>
    <x v="0"/>
    <m/>
    <x v="0"/>
  </r>
  <r>
    <x v="6"/>
    <x v="1"/>
    <x v="33"/>
    <x v="0"/>
    <s v="HALIM"/>
    <s v="N26-0018/13"/>
    <x v="0"/>
    <n v="16"/>
    <n v="0"/>
    <m/>
    <x v="0"/>
    <x v="0"/>
    <m/>
    <x v="0"/>
    <m/>
    <x v="0"/>
  </r>
  <r>
    <x v="6"/>
    <x v="1"/>
    <x v="33"/>
    <x v="0"/>
    <s v="HALIM"/>
    <s v="N26-0019/2"/>
    <x v="0"/>
    <n v="5"/>
    <n v="0"/>
    <m/>
    <x v="0"/>
    <x v="0"/>
    <m/>
    <x v="0"/>
    <m/>
    <x v="0"/>
  </r>
  <r>
    <x v="6"/>
    <x v="1"/>
    <x v="33"/>
    <x v="0"/>
    <s v="HALIM"/>
    <s v="N26-0036/1"/>
    <x v="0"/>
    <n v="10"/>
    <n v="2"/>
    <s v="S1"/>
    <x v="6"/>
    <x v="33"/>
    <n v="251809"/>
    <x v="1"/>
    <s v="Mnq opération"/>
    <x v="1"/>
  </r>
  <r>
    <x v="6"/>
    <x v="1"/>
    <x v="33"/>
    <x v="0"/>
    <s v="HALIM"/>
    <s v="N26-0026/1"/>
    <x v="0"/>
    <n v="9"/>
    <n v="1"/>
    <s v="P1"/>
    <x v="2"/>
    <x v="41"/>
    <n v="251810"/>
    <x v="1"/>
    <s v="Prog incorrecte"/>
    <x v="2"/>
  </r>
  <r>
    <x v="6"/>
    <x v="1"/>
    <x v="33"/>
    <x v="1"/>
    <s v="Ammari Slim"/>
    <s v="N26-0050/01"/>
    <x v="1"/>
    <m/>
    <n v="1"/>
    <m/>
    <x v="3"/>
    <x v="2"/>
    <n v="202302701"/>
    <x v="1"/>
    <s v="modif socle"/>
    <x v="3"/>
  </r>
  <r>
    <x v="6"/>
    <x v="1"/>
    <x v="33"/>
    <x v="1"/>
    <s v="Ammari Slim"/>
    <s v="N26-0274/130"/>
    <x v="1"/>
    <m/>
    <n v="1"/>
    <m/>
    <x v="3"/>
    <x v="39"/>
    <n v="202302702"/>
    <x v="1"/>
    <s v="refaire B1 et modif sur P1+P2"/>
    <x v="3"/>
  </r>
  <r>
    <x v="6"/>
    <x v="1"/>
    <x v="33"/>
    <x v="1"/>
    <s v="Ammari Slim"/>
    <s v="N26-0055/01"/>
    <x v="1"/>
    <n v="7"/>
    <n v="1"/>
    <m/>
    <x v="3"/>
    <x v="20"/>
    <n v="202302703"/>
    <x v="2"/>
    <s v="Refaire P1"/>
    <x v="3"/>
  </r>
  <r>
    <x v="6"/>
    <x v="1"/>
    <x v="33"/>
    <x v="1"/>
    <s v="Ammari Slim"/>
    <m/>
    <x v="0"/>
    <n v="34"/>
    <m/>
    <m/>
    <x v="0"/>
    <x v="0"/>
    <m/>
    <x v="0"/>
    <m/>
    <x v="0"/>
  </r>
  <r>
    <x v="6"/>
    <x v="1"/>
    <x v="34"/>
    <x v="0"/>
    <s v="Ben Abdessamad Hassen"/>
    <s v="N26-0055/28"/>
    <x v="0"/>
    <n v="12"/>
    <n v="0"/>
    <m/>
    <x v="0"/>
    <x v="0"/>
    <m/>
    <x v="0"/>
    <m/>
    <x v="0"/>
  </r>
  <r>
    <x v="6"/>
    <x v="1"/>
    <x v="34"/>
    <x v="0"/>
    <s v="Ben Abdessamad Hassen"/>
    <s v="N26-0001/36"/>
    <x v="0"/>
    <n v="42"/>
    <n v="1"/>
    <s v="P1"/>
    <x v="6"/>
    <x v="55"/>
    <n v="251811"/>
    <x v="3"/>
    <s v="Quantité non conforme"/>
    <x v="1"/>
  </r>
  <r>
    <x v="6"/>
    <x v="1"/>
    <x v="34"/>
    <x v="0"/>
    <s v="Ben Abdessamad Hassen"/>
    <s v="N25-0274/124"/>
    <x v="0"/>
    <n v="6"/>
    <n v="1"/>
    <s v="P1"/>
    <x v="1"/>
    <x v="1"/>
    <n v="251812"/>
    <x v="1"/>
    <s v="Poche cuivre"/>
    <x v="1"/>
  </r>
  <r>
    <x v="6"/>
    <x v="1"/>
    <x v="34"/>
    <x v="0"/>
    <s v="Ben Abdessamad Hassen"/>
    <s v="N25-0274/100"/>
    <x v="0"/>
    <n v="6"/>
    <n v="0"/>
    <m/>
    <x v="0"/>
    <x v="0"/>
    <m/>
    <x v="0"/>
    <m/>
    <x v="0"/>
  </r>
  <r>
    <x v="6"/>
    <x v="1"/>
    <x v="34"/>
    <x v="0"/>
    <s v="Ben Abdessamad Hassen"/>
    <s v="N25-0274/125"/>
    <x v="0"/>
    <n v="6"/>
    <n v="0"/>
    <m/>
    <x v="0"/>
    <x v="0"/>
    <m/>
    <x v="0"/>
    <m/>
    <x v="0"/>
  </r>
  <r>
    <x v="6"/>
    <x v="1"/>
    <x v="34"/>
    <x v="0"/>
    <s v="Ben Abdessamad Hassen"/>
    <s v="N25-0274/126"/>
    <x v="0"/>
    <n v="6"/>
    <n v="0"/>
    <m/>
    <x v="0"/>
    <x v="0"/>
    <m/>
    <x v="0"/>
    <m/>
    <x v="0"/>
  </r>
  <r>
    <x v="6"/>
    <x v="1"/>
    <x v="34"/>
    <x v="0"/>
    <s v="Ben Abdessamad Hassen"/>
    <s v="N25-0274/44"/>
    <x v="0"/>
    <n v="6"/>
    <n v="0"/>
    <m/>
    <x v="0"/>
    <x v="0"/>
    <m/>
    <x v="0"/>
    <m/>
    <x v="0"/>
  </r>
  <r>
    <x v="6"/>
    <x v="1"/>
    <x v="34"/>
    <x v="0"/>
    <s v="Ben Abdessamad Hassen"/>
    <s v="N26-0055/11"/>
    <x v="1"/>
    <n v="6"/>
    <n v="0"/>
    <m/>
    <x v="0"/>
    <x v="0"/>
    <m/>
    <x v="0"/>
    <m/>
    <x v="0"/>
  </r>
  <r>
    <x v="6"/>
    <x v="1"/>
    <x v="34"/>
    <x v="0"/>
    <s v="Ben Abdessamad Hassen"/>
    <s v="N25-0274/41"/>
    <x v="1"/>
    <n v="6"/>
    <n v="0"/>
    <m/>
    <x v="0"/>
    <x v="0"/>
    <m/>
    <x v="0"/>
    <m/>
    <x v="0"/>
  </r>
  <r>
    <x v="6"/>
    <x v="1"/>
    <x v="34"/>
    <x v="0"/>
    <s v="Wajdi chatti"/>
    <s v="N26-0055/27"/>
    <x v="1"/>
    <n v="6"/>
    <n v="0"/>
    <m/>
    <x v="0"/>
    <x v="0"/>
    <m/>
    <x v="0"/>
    <m/>
    <x v="0"/>
  </r>
  <r>
    <x v="6"/>
    <x v="1"/>
    <x v="34"/>
    <x v="0"/>
    <s v="Ben Abdessamad Hassen"/>
    <s v="N25-0274/86"/>
    <x v="1"/>
    <n v="7"/>
    <n v="0"/>
    <m/>
    <x v="0"/>
    <x v="0"/>
    <m/>
    <x v="0"/>
    <m/>
    <x v="0"/>
  </r>
  <r>
    <x v="6"/>
    <x v="1"/>
    <x v="34"/>
    <x v="0"/>
    <s v="Ben Abdessamad Hassen"/>
    <s v="N26-0055/19"/>
    <x v="0"/>
    <n v="1"/>
    <n v="1"/>
    <s v="S1"/>
    <x v="1"/>
    <x v="4"/>
    <n v="251813"/>
    <x v="2"/>
    <s v="Piéce endommagé"/>
    <x v="1"/>
  </r>
  <r>
    <x v="6"/>
    <x v="1"/>
    <x v="34"/>
    <x v="0"/>
    <s v="HALIM"/>
    <s v="N26-0036/5"/>
    <x v="0"/>
    <n v="7"/>
    <n v="0"/>
    <m/>
    <x v="0"/>
    <x v="0"/>
    <m/>
    <x v="0"/>
    <m/>
    <x v="0"/>
  </r>
  <r>
    <x v="6"/>
    <x v="1"/>
    <x v="34"/>
    <x v="0"/>
    <s v="HALIM"/>
    <s v="N26-0029/18"/>
    <x v="0"/>
    <n v="9"/>
    <n v="0"/>
    <m/>
    <x v="0"/>
    <x v="0"/>
    <m/>
    <x v="0"/>
    <m/>
    <x v="0"/>
  </r>
  <r>
    <x v="6"/>
    <x v="1"/>
    <x v="34"/>
    <x v="0"/>
    <s v="HALIM"/>
    <s v="N26-0055/34"/>
    <x v="0"/>
    <n v="12"/>
    <n v="1"/>
    <s v="SOCLE"/>
    <x v="6"/>
    <x v="41"/>
    <n v="251814"/>
    <x v="1"/>
    <s v="mnq modif"/>
    <x v="1"/>
  </r>
  <r>
    <x v="6"/>
    <x v="1"/>
    <x v="34"/>
    <x v="0"/>
    <s v="HALIM"/>
    <s v="N26-0019/15"/>
    <x v="0"/>
    <n v="28"/>
    <n v="0"/>
    <m/>
    <x v="0"/>
    <x v="0"/>
    <m/>
    <x v="0"/>
    <m/>
    <x v="0"/>
  </r>
  <r>
    <x v="6"/>
    <x v="1"/>
    <x v="34"/>
    <x v="0"/>
    <s v="HALIM"/>
    <s v="N26-0055/19"/>
    <x v="0"/>
    <n v="12"/>
    <n v="0"/>
    <m/>
    <x v="0"/>
    <x v="0"/>
    <m/>
    <x v="0"/>
    <m/>
    <x v="0"/>
  </r>
  <r>
    <x v="6"/>
    <x v="1"/>
    <x v="34"/>
    <x v="0"/>
    <s v="HALIM"/>
    <s v="N26-0029/8"/>
    <x v="0"/>
    <n v="14"/>
    <n v="1"/>
    <s v="P1"/>
    <x v="1"/>
    <x v="5"/>
    <n v="251815"/>
    <x v="1"/>
    <s v="Prof lamage moins que la tolérance"/>
    <x v="1"/>
  </r>
  <r>
    <x v="6"/>
    <x v="1"/>
    <x v="34"/>
    <x v="0"/>
    <s v="HALIM"/>
    <s v="N26-0055/21"/>
    <x v="0"/>
    <n v="5"/>
    <n v="0"/>
    <m/>
    <x v="0"/>
    <x v="0"/>
    <m/>
    <x v="0"/>
    <m/>
    <x v="0"/>
  </r>
  <r>
    <x v="6"/>
    <x v="1"/>
    <x v="34"/>
    <x v="1"/>
    <s v="Ammari Slim"/>
    <s v="N26-0029/23"/>
    <x v="1"/>
    <m/>
    <n v="1"/>
    <m/>
    <x v="3"/>
    <x v="2"/>
    <n v="202302704"/>
    <x v="1"/>
    <s v="ajout perçage pour activation"/>
    <x v="3"/>
  </r>
  <r>
    <x v="6"/>
    <x v="1"/>
    <x v="34"/>
    <x v="1"/>
    <s v="Ammari Slim"/>
    <s v="N26-0043/08"/>
    <x v="1"/>
    <m/>
    <n v="1"/>
    <s v="P1"/>
    <x v="2"/>
    <x v="2"/>
    <n v="202302705"/>
    <x v="1"/>
    <s v="retour au M,cam(P1)"/>
    <x v="2"/>
  </r>
  <r>
    <x v="6"/>
    <x v="1"/>
    <x v="34"/>
    <x v="1"/>
    <s v="Ammari Slim"/>
    <s v="N25-0296/02"/>
    <x v="1"/>
    <m/>
    <n v="1"/>
    <m/>
    <x v="3"/>
    <x v="44"/>
    <n v="202302706"/>
    <x v="1"/>
    <s v="refaire pince"/>
    <x v="3"/>
  </r>
  <r>
    <x v="6"/>
    <x v="1"/>
    <x v="34"/>
    <x v="1"/>
    <s v="Ammari Slim"/>
    <s v="N26-0029/03"/>
    <x v="1"/>
    <n v="6"/>
    <n v="1"/>
    <s v="P2"/>
    <x v="1"/>
    <x v="51"/>
    <n v="202302707"/>
    <x v="2"/>
    <s v="Refaire P2"/>
    <x v="1"/>
  </r>
  <r>
    <x v="6"/>
    <x v="1"/>
    <x v="34"/>
    <x v="1"/>
    <s v="Ammari Slim"/>
    <s v="N26-0001/32"/>
    <x v="0"/>
    <n v="41"/>
    <n v="2"/>
    <s v="microswitch"/>
    <x v="10"/>
    <x v="24"/>
    <n v="202302708"/>
    <x v="4"/>
    <s v="microswitch"/>
    <x v="4"/>
  </r>
  <r>
    <x v="6"/>
    <x v="1"/>
    <x v="35"/>
    <x v="0"/>
    <s v="Ben Abdessamad Hassen"/>
    <s v="N26-0029/20"/>
    <x v="0"/>
    <n v="4"/>
    <n v="0"/>
    <m/>
    <x v="0"/>
    <x v="0"/>
    <m/>
    <x v="0"/>
    <m/>
    <x v="0"/>
  </r>
  <r>
    <x v="6"/>
    <x v="1"/>
    <x v="35"/>
    <x v="0"/>
    <s v="Ben Abdessamad Hassen"/>
    <s v="N26-0029/5"/>
    <x v="0"/>
    <n v="3"/>
    <n v="0"/>
    <m/>
    <x v="0"/>
    <x v="0"/>
    <m/>
    <x v="0"/>
    <m/>
    <x v="0"/>
  </r>
  <r>
    <x v="6"/>
    <x v="1"/>
    <x v="35"/>
    <x v="0"/>
    <s v="Ben Abdessamad Hassen"/>
    <s v="N26-0036/6"/>
    <x v="0"/>
    <n v="5"/>
    <n v="0"/>
    <m/>
    <x v="0"/>
    <x v="0"/>
    <m/>
    <x v="0"/>
    <m/>
    <x v="0"/>
  </r>
  <r>
    <x v="6"/>
    <x v="1"/>
    <x v="35"/>
    <x v="0"/>
    <s v="Ben Abdessamad Hassen"/>
    <s v="N25-0309/3"/>
    <x v="0"/>
    <n v="15"/>
    <n v="3"/>
    <s v="P3"/>
    <x v="1"/>
    <x v="1"/>
    <n v="251816"/>
    <x v="1"/>
    <s v="Poche X code"/>
    <x v="1"/>
  </r>
  <r>
    <x v="6"/>
    <x v="1"/>
    <x v="35"/>
    <x v="0"/>
    <s v="Ben Abdessamad Hassen"/>
    <s v="N26-0055/14"/>
    <x v="1"/>
    <n v="7"/>
    <n v="1"/>
    <s v="P1"/>
    <x v="1"/>
    <x v="13"/>
    <n v="251817"/>
    <x v="1"/>
    <m/>
    <x v="1"/>
  </r>
  <r>
    <x v="6"/>
    <x v="1"/>
    <x v="35"/>
    <x v="0"/>
    <s v="Ben Abdessamad Hassen"/>
    <s v="N26-0055/14"/>
    <x v="1"/>
    <m/>
    <n v="1"/>
    <s v="PSD "/>
    <x v="1"/>
    <x v="18"/>
    <n v="251818"/>
    <x v="1"/>
    <m/>
    <x v="1"/>
  </r>
  <r>
    <x v="6"/>
    <x v="1"/>
    <x v="35"/>
    <x v="0"/>
    <s v="Wajdi chatti"/>
    <s v="N26-0047/2"/>
    <x v="1"/>
    <n v="4"/>
    <n v="0"/>
    <m/>
    <x v="0"/>
    <x v="0"/>
    <m/>
    <x v="0"/>
    <m/>
    <x v="0"/>
  </r>
  <r>
    <x v="6"/>
    <x v="1"/>
    <x v="35"/>
    <x v="0"/>
    <s v="Ben Abdessamad Hassen"/>
    <s v="N26-0055/26"/>
    <x v="1"/>
    <n v="4"/>
    <n v="1"/>
    <s v="P1"/>
    <x v="1"/>
    <x v="1"/>
    <n v="251819"/>
    <x v="1"/>
    <s v="Poche cuivre"/>
    <x v="1"/>
  </r>
  <r>
    <x v="6"/>
    <x v="1"/>
    <x v="35"/>
    <x v="0"/>
    <s v="Ben Abdessamad Hassen"/>
    <s v="N26-0055/26"/>
    <x v="1"/>
    <m/>
    <n v="1"/>
    <s v="P1"/>
    <x v="2"/>
    <x v="41"/>
    <n v="251820"/>
    <x v="1"/>
    <s v="poche NAPP"/>
    <x v="2"/>
  </r>
  <r>
    <x v="6"/>
    <x v="1"/>
    <x v="35"/>
    <x v="0"/>
    <s v="Ben Abdessamad Hassen"/>
    <s v="N25-0289/12"/>
    <x v="0"/>
    <n v="32"/>
    <m/>
    <m/>
    <x v="0"/>
    <x v="0"/>
    <m/>
    <x v="0"/>
    <m/>
    <x v="0"/>
  </r>
  <r>
    <x v="6"/>
    <x v="1"/>
    <x v="35"/>
    <x v="0"/>
    <s v="Ben Abdessamad Hassen"/>
    <s v="N26-0036/4"/>
    <x v="0"/>
    <n v="19"/>
    <n v="0"/>
    <m/>
    <x v="0"/>
    <x v="0"/>
    <m/>
    <x v="0"/>
    <m/>
    <x v="0"/>
  </r>
  <r>
    <x v="6"/>
    <x v="1"/>
    <x v="35"/>
    <x v="0"/>
    <s v="Ben Abdessamad Hassen"/>
    <s v="N26-0055/41"/>
    <x v="1"/>
    <n v="3"/>
    <n v="0"/>
    <m/>
    <x v="0"/>
    <x v="0"/>
    <m/>
    <x v="0"/>
    <m/>
    <x v="0"/>
  </r>
  <r>
    <x v="6"/>
    <x v="1"/>
    <x v="35"/>
    <x v="0"/>
    <s v="HALIM"/>
    <s v="N26-0029/17"/>
    <x v="1"/>
    <n v="9"/>
    <n v="1"/>
    <s v="B4"/>
    <x v="1"/>
    <x v="20"/>
    <n v="251821"/>
    <x v="2"/>
    <s v="Cote non conforme  "/>
    <x v="1"/>
  </r>
  <r>
    <x v="6"/>
    <x v="1"/>
    <x v="35"/>
    <x v="0"/>
    <s v="HALIM"/>
    <s v="N26-0274/13"/>
    <x v="1"/>
    <n v="9"/>
    <n v="0"/>
    <m/>
    <x v="0"/>
    <x v="0"/>
    <m/>
    <x v="0"/>
    <m/>
    <x v="0"/>
  </r>
  <r>
    <x v="6"/>
    <x v="1"/>
    <x v="35"/>
    <x v="0"/>
    <s v="HALIM"/>
    <s v="N26-0274/98"/>
    <x v="0"/>
    <n v="16"/>
    <n v="0"/>
    <m/>
    <x v="0"/>
    <x v="0"/>
    <m/>
    <x v="0"/>
    <m/>
    <x v="0"/>
  </r>
  <r>
    <x v="6"/>
    <x v="1"/>
    <x v="35"/>
    <x v="0"/>
    <s v="HALIM"/>
    <s v="N26-0001/17"/>
    <x v="0"/>
    <n v="30"/>
    <n v="1"/>
    <s v="P3"/>
    <x v="1"/>
    <x v="4"/>
    <n v="251822"/>
    <x v="2"/>
    <s v="Piéce non conforme au plan 2 D"/>
    <x v="1"/>
  </r>
  <r>
    <x v="6"/>
    <x v="1"/>
    <x v="35"/>
    <x v="0"/>
    <s v="HALIM"/>
    <s v="N26-0055/26"/>
    <x v="0"/>
    <n v="5"/>
    <n v="0"/>
    <m/>
    <x v="0"/>
    <x v="0"/>
    <m/>
    <x v="0"/>
    <m/>
    <x v="0"/>
  </r>
  <r>
    <x v="6"/>
    <x v="1"/>
    <x v="35"/>
    <x v="0"/>
    <s v="HALIM"/>
    <s v="N26-0029/13"/>
    <x v="0"/>
    <n v="8"/>
    <n v="0"/>
    <m/>
    <x v="0"/>
    <x v="0"/>
    <m/>
    <x v="0"/>
    <m/>
    <x v="0"/>
  </r>
  <r>
    <x v="6"/>
    <x v="1"/>
    <x v="35"/>
    <x v="1"/>
    <s v="Ammari Slim"/>
    <s v="N25-0274/41"/>
    <x v="1"/>
    <n v="5"/>
    <n v="1"/>
    <m/>
    <x v="3"/>
    <x v="24"/>
    <n v="202302709"/>
    <x v="2"/>
    <s v="goupille de détection"/>
    <x v="3"/>
  </r>
  <r>
    <x v="6"/>
    <x v="1"/>
    <x v="35"/>
    <x v="1"/>
    <s v="Ammari Slim"/>
    <s v="N25-0029/18"/>
    <x v="0"/>
    <n v="38"/>
    <n v="1"/>
    <m/>
    <x v="1"/>
    <x v="51"/>
    <n v="202302711"/>
    <x v="2"/>
    <s v="N1 à refaire"/>
    <x v="1"/>
  </r>
  <r>
    <x v="7"/>
    <x v="2"/>
    <x v="36"/>
    <x v="3"/>
    <m/>
    <m/>
    <x v="2"/>
    <m/>
    <m/>
    <m/>
    <x v="11"/>
    <x v="56"/>
    <m/>
    <x v="5"/>
    <m/>
    <x v="7"/>
  </r>
  <r>
    <x v="7"/>
    <x v="2"/>
    <x v="36"/>
    <x v="3"/>
    <m/>
    <m/>
    <x v="2"/>
    <m/>
    <m/>
    <m/>
    <x v="11"/>
    <x v="56"/>
    <m/>
    <x v="5"/>
    <m/>
    <x v="7"/>
  </r>
  <r>
    <x v="7"/>
    <x v="2"/>
    <x v="36"/>
    <x v="3"/>
    <m/>
    <m/>
    <x v="2"/>
    <m/>
    <m/>
    <m/>
    <x v="11"/>
    <x v="56"/>
    <m/>
    <x v="5"/>
    <m/>
    <x v="7"/>
  </r>
  <r>
    <x v="7"/>
    <x v="2"/>
    <x v="36"/>
    <x v="3"/>
    <m/>
    <m/>
    <x v="2"/>
    <m/>
    <m/>
    <m/>
    <x v="11"/>
    <x v="56"/>
    <m/>
    <x v="5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9DF5D-B9E6-4F6F-9CF1-4E6DF5EA015D}" name="Tableau croisé dynamique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4">
  <location ref="G328:H353" firstHeaderRow="1" firstDataRow="1" firstDataCol="1" rowPageCount="3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axis="axisPage" showAll="0">
      <items count="15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x="1"/>
        <item t="default"/>
      </items>
    </pivotField>
    <pivotField multipleItemSelectionAllowed="1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85"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32"/>
        <item x="36"/>
        <item x="24"/>
        <item x="23"/>
        <item x="19"/>
        <item x="49"/>
        <item x="3"/>
        <item x="28"/>
        <item x="22"/>
        <item x="15"/>
        <item x="7"/>
        <item x="26"/>
        <item x="29"/>
        <item x="6"/>
        <item x="14"/>
        <item x="37"/>
        <item x="25"/>
        <item x="50"/>
        <item x="27"/>
        <item x="42"/>
        <item x="34"/>
        <item x="33"/>
        <item x="2"/>
        <item x="41"/>
        <item x="43"/>
        <item x="16"/>
        <item x="18"/>
        <item x="40"/>
        <item x="31"/>
        <item x="48"/>
        <item x="35"/>
        <item x="46"/>
        <item x="10"/>
        <item x="13"/>
        <item x="8"/>
        <item x="4"/>
        <item x="51"/>
        <item x="21"/>
        <item x="12"/>
        <item x="30"/>
        <item x="11"/>
        <item x="1"/>
        <item x="20"/>
        <item x="17"/>
        <item x="45"/>
        <item x="44"/>
        <item x="39"/>
        <item x="5"/>
        <item x="47"/>
        <item x="9"/>
        <item x="38"/>
        <item x="56"/>
        <item x="52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x="53"/>
        <item x="54"/>
        <item x="0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4">
        <item m="1" x="10"/>
        <item x="3"/>
        <item x="1"/>
        <item x="5"/>
        <item x="2"/>
        <item m="1" x="11"/>
        <item m="1" x="9"/>
        <item x="0"/>
        <item x="4"/>
        <item m="1" x="12"/>
        <item x="7"/>
        <item x="6"/>
        <item m="1" x="8"/>
        <item t="default"/>
      </items>
    </pivotField>
  </pivotFields>
  <rowFields count="2">
    <field x="6"/>
    <field x="11"/>
  </rowFields>
  <rowItems count="25">
    <i>
      <x v="1"/>
    </i>
    <i r="1">
      <x v="57"/>
    </i>
    <i r="1">
      <x v="62"/>
    </i>
    <i r="1">
      <x v="63"/>
    </i>
    <i r="1">
      <x v="51"/>
    </i>
    <i r="1">
      <x v="38"/>
    </i>
    <i r="1">
      <x v="18"/>
    </i>
    <i r="1">
      <x v="39"/>
    </i>
    <i r="1">
      <x v="49"/>
    </i>
    <i r="1">
      <x v="64"/>
    </i>
    <i r="1">
      <x v="66"/>
    </i>
    <i r="1">
      <x v="53"/>
    </i>
    <i r="1">
      <x v="42"/>
    </i>
    <i>
      <x/>
    </i>
    <i r="1">
      <x v="57"/>
    </i>
    <i r="1">
      <x v="51"/>
    </i>
    <i r="1">
      <x v="18"/>
    </i>
    <i r="1">
      <x v="63"/>
    </i>
    <i r="1">
      <x v="37"/>
    </i>
    <i r="1">
      <x v="39"/>
    </i>
    <i r="1">
      <x v="58"/>
    </i>
    <i r="1">
      <x v="48"/>
    </i>
    <i r="1">
      <x v="50"/>
    </i>
    <i r="1">
      <x v="49"/>
    </i>
    <i t="grand">
      <x/>
    </i>
  </rowItems>
  <colItems count="1">
    <i/>
  </colItems>
  <pageFields count="3">
    <pageField fld="0" hier="-1"/>
    <pageField fld="1" hier="-1"/>
    <pageField fld="15" hier="-1"/>
  </pageFields>
  <dataFields count="1">
    <dataField name="Somme de Nombre des défauts" fld="8" baseField="0" baseItem="0"/>
  </dataFields>
  <formats count="8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4" iMeasureFld="0">
      <autoFilter ref="A1">
        <filterColumn colId="0">
          <customFilters>
            <customFilter operator="greaterThanOrEqual"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0008B-933A-44BD-A8D0-BCE2475729D8}" name="Tableau croisé dynamique18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7">
  <location ref="R132:S135" firstHeaderRow="1" firstDataRow="1" firstDataCol="1" rowPageCount="2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multipleItemSelectionAllowed="1" showAll="0" sortType="descending">
      <items count="15">
        <item x="4"/>
        <item x="2"/>
        <item m="1" x="13"/>
        <item h="1" m="1" x="6"/>
        <item x="3"/>
        <item x="1"/>
        <item h="1" x="5"/>
        <item h="1" m="1" x="10"/>
        <item h="1" m="1" x="11"/>
        <item h="1" m="1" x="12"/>
        <item h="1" m="1" x="7"/>
        <item h="1" m="1" x="8"/>
        <item h="1" m="1" x="9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 sortType="descending">
      <items count="14">
        <item h="1" x="3"/>
        <item h="1" x="1"/>
        <item x="2"/>
        <item m="1" x="11"/>
        <item m="1" x="9"/>
        <item h="1" x="4"/>
        <item m="1" x="12"/>
        <item h="1" x="7"/>
        <item h="1" x="0"/>
        <item m="1" x="10"/>
        <item h="1" x="5"/>
        <item h="1" x="6"/>
        <item h="1"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3">
    <i>
      <x v="1"/>
    </i>
    <i>
      <x v="5"/>
    </i>
    <i t="grand">
      <x/>
    </i>
  </rowItems>
  <colItems count="1">
    <i/>
  </colItems>
  <pageFields count="2">
    <pageField fld="1" hier="-1"/>
    <pageField fld="15" hier="-1"/>
  </pageFields>
  <dataFields count="1">
    <dataField name="Somme de Nombre des défauts" fld="8" baseField="0" baseItem="0"/>
  </dataFields>
  <formats count="8"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64781-013B-4873-833E-9ECA9AC713C9}" name="Tableau croisé dynamique2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1">
  <location ref="N18:O21" firstHeaderRow="1" firstDataRow="1" firstDataCol="1" rowPageCount="3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t="default"/>
      </items>
    </pivotField>
    <pivotField showAll="0"/>
    <pivotField axis="axisPage" multipleItemSelectionAllowed="1" showAll="0">
      <items count="7">
        <item m="1" x="4"/>
        <item h="1" x="0"/>
        <item m="1" x="5"/>
        <item x="3"/>
        <item x="2"/>
        <item x="1"/>
        <item t="default"/>
      </items>
    </pivotField>
    <pivotField showAll="0"/>
    <pivotField showAll="0"/>
    <pivotField axis="axisRow" multipleItemSelectionAllowed="1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 sortType="descending">
      <items count="14">
        <item x="3"/>
        <item x="1"/>
        <item x="2"/>
        <item m="1" x="11"/>
        <item m="1" x="9"/>
        <item x="4"/>
        <item m="1" x="12"/>
        <item x="7"/>
        <item x="0"/>
        <item m="1" x="10"/>
        <item x="5"/>
        <item x="6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3">
    <pageField fld="1" hier="-1"/>
    <pageField fld="15" hier="-1"/>
    <pageField fld="3" hier="-1"/>
  </pageFields>
  <dataFields count="1">
    <dataField name="Somme de Nombre des piéces controlés" fld="7" baseField="0" baseItem="0"/>
  </dataFields>
  <formats count="8"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7A562-FE08-48DF-8451-FA0811740116}" name="Tableau croisé dynamique1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9">
  <location ref="E124:F128" firstHeaderRow="1" firstDataRow="1" firstDataCol="1" rowPageCount="1" colPageCount="1"/>
  <pivotFields count="16">
    <pivotField showAll="0"/>
    <pivotField showAll="0"/>
    <pivotField axis="axisPage" multipleItemSelectionAllowed="1" showAll="0">
      <items count="363">
        <item h="1" x="0"/>
        <item h="1" x="1"/>
        <item h="1" x="2"/>
        <item h="1" x="3"/>
        <item h="1" x="4"/>
        <item h="1" x="36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m="1" x="41"/>
        <item h="1" m="1" x="42"/>
        <item h="1" x="15"/>
        <item h="1" x="16"/>
        <item h="1" x="17"/>
        <item h="1" x="18"/>
        <item h="1" x="19"/>
        <item h="1" m="1" x="43"/>
        <item h="1" x="22"/>
        <item h="1" x="20"/>
        <item h="1" x="21"/>
        <item h="1" x="23"/>
        <item h="1" x="24"/>
        <item h="1" x="25"/>
        <item h="1" m="1" x="44"/>
        <item h="1" m="1" x="45"/>
        <item h="1" x="26"/>
        <item h="1" x="27"/>
        <item h="1" x="28"/>
        <item h="1" x="29"/>
        <item h="1" x="30"/>
        <item h="1" m="1" x="46"/>
        <item h="1" m="1" x="47"/>
        <item h="1" x="31"/>
        <item h="1" x="32"/>
        <item h="1" x="33"/>
        <item h="1" x="34"/>
        <item x="35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7"/>
        <item h="1" m="1" x="38"/>
        <item h="1" m="1" x="39"/>
        <item h="1" m="1" x="4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34">
        <item m="1" x="25"/>
        <item m="1" x="13"/>
        <item m="1" x="30"/>
        <item m="1" x="28"/>
        <item m="1" x="32"/>
        <item m="1" x="24"/>
        <item m="1" x="31"/>
        <item m="1" x="27"/>
        <item h="1" m="1" x="12"/>
        <item m="1" x="26"/>
        <item m="1" x="29"/>
        <item h="1" x="11"/>
        <item x="5"/>
        <item x="2"/>
        <item m="1" x="22"/>
        <item x="7"/>
        <item x="4"/>
        <item x="1"/>
        <item x="8"/>
        <item x="6"/>
        <item x="3"/>
        <item x="9"/>
        <item x="10"/>
        <item m="1" x="23"/>
        <item h="1" m="1" x="21"/>
        <item h="1" m="1" x="14"/>
        <item h="1" m="1" x="15"/>
        <item h="1" m="1" x="16"/>
        <item h="1" m="1" x="17"/>
        <item h="1" m="1" x="18"/>
        <item h="1" m="1" x="19"/>
        <item h="1" m="1" x="2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0"/>
  </rowFields>
  <rowItems count="4">
    <i>
      <x v="17"/>
    </i>
    <i>
      <x v="20"/>
    </i>
    <i>
      <x v="13"/>
    </i>
    <i t="grand">
      <x/>
    </i>
  </rowItems>
  <colItems count="1">
    <i/>
  </colItems>
  <pageFields count="1">
    <pageField fld="2" hier="-1"/>
  </pageFields>
  <dataFields count="1">
    <dataField name="Somme de Nombre des défauts" fld="8" baseField="0" baseItem="0"/>
  </dataFields>
  <formats count="8"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5961A-0D48-485A-9AC3-6B07E8D37E12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8">
  <location ref="E271:F287" firstHeaderRow="1" firstDataRow="1" firstDataCol="1" rowPageCount="3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axis="axisPage" showAll="0">
      <items count="15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x="1"/>
        <item t="default"/>
      </items>
    </pivotField>
    <pivotField multipleItemSelectionAllowed="1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Row" showAll="0" sortType="descending">
      <items count="34">
        <item m="1" x="25"/>
        <item m="1" x="13"/>
        <item m="1" x="30"/>
        <item m="1" x="28"/>
        <item m="1" x="32"/>
        <item m="1" x="24"/>
        <item m="1" x="31"/>
        <item m="1" x="27"/>
        <item h="1" m="1" x="12"/>
        <item m="1" x="26"/>
        <item m="1" x="29"/>
        <item h="1" x="11"/>
        <item x="5"/>
        <item x="2"/>
        <item m="1" x="22"/>
        <item x="7"/>
        <item x="4"/>
        <item x="1"/>
        <item x="8"/>
        <item x="6"/>
        <item x="3"/>
        <item x="9"/>
        <item x="10"/>
        <item m="1" x="23"/>
        <item h="1" m="1" x="21"/>
        <item h="1" m="1" x="14"/>
        <item h="1" m="1" x="15"/>
        <item h="1" m="1" x="16"/>
        <item h="1" m="1" x="17"/>
        <item h="1" m="1" x="18"/>
        <item h="1" m="1" x="19"/>
        <item h="1" m="1" x="2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4">
        <item m="1" x="10"/>
        <item h="1" x="3"/>
        <item x="1"/>
        <item h="1" x="5"/>
        <item h="1" x="2"/>
        <item m="1" x="11"/>
        <item m="1" x="9"/>
        <item h="1" x="0"/>
        <item h="1" x="4"/>
        <item m="1" x="12"/>
        <item h="1" x="7"/>
        <item h="1" x="6"/>
        <item h="1" m="1" x="8"/>
        <item t="default"/>
      </items>
    </pivotField>
  </pivotFields>
  <rowFields count="2">
    <field x="6"/>
    <field x="10"/>
  </rowFields>
  <rowItems count="16">
    <i>
      <x/>
    </i>
    <i r="1">
      <x v="17"/>
    </i>
    <i r="1">
      <x v="19"/>
    </i>
    <i r="1">
      <x v="15"/>
    </i>
    <i r="1">
      <x v="12"/>
    </i>
    <i r="1">
      <x v="16"/>
    </i>
    <i r="1">
      <x v="20"/>
    </i>
    <i r="1">
      <x v="18"/>
    </i>
    <i>
      <x v="1"/>
    </i>
    <i r="1">
      <x v="17"/>
    </i>
    <i r="1">
      <x v="19"/>
    </i>
    <i r="1">
      <x v="12"/>
    </i>
    <i r="1">
      <x v="16"/>
    </i>
    <i r="1">
      <x v="15"/>
    </i>
    <i r="1">
      <x v="18"/>
    </i>
    <i t="grand">
      <x/>
    </i>
  </rowItems>
  <colItems count="1">
    <i/>
  </colItems>
  <pageFields count="3">
    <pageField fld="0" hier="-1"/>
    <pageField fld="1" hier="-1"/>
    <pageField fld="15" hier="-1"/>
  </pageFields>
  <dataFields count="1">
    <dataField name="Somme de Nombre des défauts" fld="8" baseField="0" baseItem="0"/>
  </dataFields>
  <formats count="9"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grandRow="1" outline="0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dataOnly="0" labelOnly="1" fieldPosition="0">
        <references count="1">
          <reference field="10" count="0"/>
        </references>
      </pivotArea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443AA-F36B-45DE-8C60-0AF34EF6B0CF}" name="Tableau croisé dynamique17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2">
  <location ref="P112:Q117" firstHeaderRow="1" firstDataRow="1" firstDataCol="1" rowPageCount="2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multipleItemSelectionAllowed="1" showAll="0" sortType="descending">
      <items count="15">
        <item x="4"/>
        <item x="2"/>
        <item m="1" x="13"/>
        <item h="1" m="1" x="6"/>
        <item x="3"/>
        <item x="1"/>
        <item h="1" x="5"/>
        <item h="1" m="1" x="10"/>
        <item h="1" m="1" x="11"/>
        <item h="1" m="1" x="12"/>
        <item h="1" m="1" x="7"/>
        <item h="1" m="1" x="8"/>
        <item h="1" m="1" x="9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 sortType="descending">
      <items count="14">
        <item x="3"/>
        <item h="1" x="1"/>
        <item h="1" x="2"/>
        <item m="1" x="11"/>
        <item m="1" x="9"/>
        <item h="1" x="4"/>
        <item m="1" x="12"/>
        <item h="1" x="7"/>
        <item h="1" x="0"/>
        <item m="1" x="10"/>
        <item h="1" x="5"/>
        <item h="1" x="6"/>
        <item h="1"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5">
    <i>
      <x v="5"/>
    </i>
    <i>
      <x v="1"/>
    </i>
    <i>
      <x/>
    </i>
    <i>
      <x v="4"/>
    </i>
    <i t="grand">
      <x/>
    </i>
  </rowItems>
  <colItems count="1">
    <i/>
  </colItems>
  <pageFields count="2">
    <pageField fld="1" hier="-1"/>
    <pageField fld="15" hier="-1"/>
  </pageFields>
  <dataFields count="1">
    <dataField name="Somme de Nombre des défauts" fld="8" baseField="0" baseItem="0"/>
  </dataFields>
  <formats count="8"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grandRow="1" outline="0" fieldPosition="0"/>
    </format>
    <format dxfId="59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5D60F-50AF-48AE-85AC-C60DBE333483}" name="Tableau croisé dynamique9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8">
  <location ref="A213:B218" firstHeaderRow="1" firstDataRow="1" firstDataCol="1" rowPageCount="3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axis="axisPage" showAll="0">
      <items count="15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x="1"/>
        <item t="default"/>
      </items>
    </pivotField>
    <pivotField multipleItemSelectionAllowed="1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Row" showAll="0" sortType="descending">
      <items count="34">
        <item m="1" x="25"/>
        <item m="1" x="13"/>
        <item m="1" x="30"/>
        <item m="1" x="28"/>
        <item m="1" x="32"/>
        <item m="1" x="24"/>
        <item m="1" x="31"/>
        <item m="1" x="27"/>
        <item h="1" m="1" x="12"/>
        <item m="1" x="26"/>
        <item m="1" x="29"/>
        <item h="1" x="11"/>
        <item x="5"/>
        <item x="2"/>
        <item m="1" x="22"/>
        <item x="7"/>
        <item x="4"/>
        <item x="1"/>
        <item x="8"/>
        <item x="6"/>
        <item x="3"/>
        <item x="9"/>
        <item x="10"/>
        <item m="1" x="23"/>
        <item h="1" m="1" x="21"/>
        <item h="1" m="1" x="14"/>
        <item h="1" m="1" x="15"/>
        <item h="1" m="1" x="16"/>
        <item h="1" m="1" x="17"/>
        <item h="1" m="1" x="18"/>
        <item h="1" m="1" x="19"/>
        <item h="1" m="1" x="2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4">
        <item m="1" x="10"/>
        <item x="3"/>
        <item h="1" x="1"/>
        <item h="1" x="5"/>
        <item h="1" x="2"/>
        <item m="1" x="11"/>
        <item m="1" x="9"/>
        <item h="1" x="0"/>
        <item h="1" x="4"/>
        <item m="1" x="12"/>
        <item h="1" x="7"/>
        <item h="1" x="6"/>
        <item h="1" m="1" x="8"/>
        <item t="default"/>
      </items>
    </pivotField>
  </pivotFields>
  <rowFields count="2">
    <field x="6"/>
    <field x="10"/>
  </rowFields>
  <rowItems count="5">
    <i>
      <x v="1"/>
    </i>
    <i r="1">
      <x v="20"/>
    </i>
    <i>
      <x/>
    </i>
    <i r="1">
      <x v="20"/>
    </i>
    <i t="grand">
      <x/>
    </i>
  </rowItems>
  <colItems count="1">
    <i/>
  </colItems>
  <pageFields count="3">
    <pageField fld="0" hier="-1"/>
    <pageField fld="1" hier="-1"/>
    <pageField fld="15" hier="-1"/>
  </pageFields>
  <dataFields count="1">
    <dataField name="Somme de Nombre des défauts" fld="8" baseField="0" baseItem="0"/>
  </dataFields>
  <formats count="9"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grandRow="1" outline="0" fieldPosition="0"/>
    </format>
    <format dxfId="68">
      <pivotArea dataOnly="0" labelOnly="1" outline="0" axis="axisValues" fieldPosition="0"/>
    </format>
    <format dxfId="67">
      <pivotArea dataOnly="0" labelOnly="1" fieldPosition="0">
        <references count="1">
          <reference field="10" count="0"/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B38BF-002E-41C4-BD6E-DBA0FD2185E7}" name="Tableau croisé dynamique2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0">
  <location ref="V181:W184" firstHeaderRow="1" firstDataRow="1" firstDataCol="1" rowPageCount="2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multipleItemSelectionAllowed="1" showAll="0" sortType="descending">
      <items count="15">
        <item x="4"/>
        <item x="2"/>
        <item m="1" x="13"/>
        <item h="1" m="1" x="6"/>
        <item x="3"/>
        <item x="1"/>
        <item h="1" x="5"/>
        <item h="1" m="1" x="10"/>
        <item h="1" m="1" x="11"/>
        <item h="1" m="1" x="12"/>
        <item h="1" m="1" x="7"/>
        <item h="1" m="1" x="8"/>
        <item h="1" m="1" x="9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 sortType="descending">
      <items count="14">
        <item h="1" x="3"/>
        <item h="1" x="1"/>
        <item h="1" x="2"/>
        <item m="1" x="11"/>
        <item m="1" x="9"/>
        <item x="4"/>
        <item m="1" x="12"/>
        <item h="1" x="7"/>
        <item h="1" x="0"/>
        <item m="1" x="10"/>
        <item x="5"/>
        <item h="1" x="6"/>
        <item h="1"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pageFields count="2">
    <pageField fld="1" hier="-1"/>
    <pageField fld="15" hier="-1"/>
  </pageFields>
  <dataFields count="1">
    <dataField name="Somme de Nombre des défauts" fld="8" baseField="0" baseItem="0"/>
  </dataFields>
  <formats count="8"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960AD-BB65-4A7F-95E0-674FBCFF814A}" name="Tableau croisé dynamique8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6">
  <location ref="V4:X14" firstHeaderRow="0" firstDataRow="1" firstDataCol="1" rowPageCount="1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3"/>
        <item x="1"/>
        <item x="2"/>
        <item m="1" x="11"/>
        <item m="1" x="9"/>
        <item x="4"/>
        <item m="1" x="12"/>
        <item h="1" x="7"/>
        <item h="1" x="0"/>
        <item h="1" m="1" x="10"/>
        <item h="1" x="5"/>
        <item h="1" x="6"/>
        <item h="1" m="1"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6"/>
    <field x="15"/>
  </rowFields>
  <rowItems count="10">
    <i>
      <x/>
    </i>
    <i r="1">
      <x v="1"/>
    </i>
    <i r="1">
      <x v="2"/>
    </i>
    <i r="1">
      <x v="5"/>
    </i>
    <i r="1">
      <x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omme de Nombre des piéces controlés" fld="7" baseField="0" baseItem="0"/>
    <dataField name="Somme de Nombre des défauts" fld="8" baseField="0" baseItem="0"/>
  </dataFields>
  <formats count="12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5" type="button" dataOnly="0" labelOnly="1" outline="0" axis="axisRow" fieldPosition="1"/>
    </format>
    <format dxfId="92">
      <pivotArea dataOnly="0" labelOnly="1" fieldPosition="0">
        <references count="1">
          <reference field="15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5" type="button" dataOnly="0" labelOnly="1" outline="0" axis="axisRow" fieldPosition="1"/>
    </format>
    <format dxfId="86">
      <pivotArea dataOnly="0" labelOnly="1" fieldPosition="0">
        <references count="1">
          <reference field="15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99EBF-C686-4ACD-8364-20668AEB5D6B}" name="Tableau croisé dynamique1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1">
  <location ref="E105:F114" firstHeaderRow="1" firstDataRow="1" firstDataCol="1" rowPageCount="1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34">
        <item m="1" x="25"/>
        <item m="1" x="13"/>
        <item m="1" x="30"/>
        <item m="1" x="28"/>
        <item m="1" x="32"/>
        <item m="1" x="24"/>
        <item m="1" x="31"/>
        <item m="1" x="27"/>
        <item h="1" m="1" x="12"/>
        <item m="1" x="26"/>
        <item m="1" x="29"/>
        <item h="1" x="11"/>
        <item x="5"/>
        <item x="2"/>
        <item m="1" x="22"/>
        <item x="7"/>
        <item x="4"/>
        <item x="1"/>
        <item x="8"/>
        <item x="6"/>
        <item x="3"/>
        <item x="9"/>
        <item x="10"/>
        <item m="1" x="23"/>
        <item h="1" m="1" x="21"/>
        <item h="1" m="1" x="14"/>
        <item h="1" m="1" x="15"/>
        <item h="1" m="1" x="16"/>
        <item h="1" m="1" x="17"/>
        <item h="1" m="1" x="18"/>
        <item h="1" m="1" x="19"/>
        <item h="1" m="1" x="2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0"/>
  </rowFields>
  <rowItems count="9">
    <i>
      <x v="17"/>
    </i>
    <i>
      <x v="20"/>
    </i>
    <i>
      <x v="13"/>
    </i>
    <i>
      <x v="19"/>
    </i>
    <i>
      <x v="22"/>
    </i>
    <i>
      <x v="12"/>
    </i>
    <i>
      <x v="18"/>
    </i>
    <i>
      <x v="15"/>
    </i>
    <i t="grand">
      <x/>
    </i>
  </rowItems>
  <colItems count="1">
    <i/>
  </colItems>
  <pageFields count="1">
    <pageField fld="1" hier="-1"/>
  </pageFields>
  <dataFields count="1">
    <dataField name="Somme de Nombre des défauts" fld="8" baseField="0" baseItem="0"/>
  </dataFields>
  <formats count="9"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grandRow="1" outline="0" fieldPosition="0"/>
    </format>
    <format dxfId="101">
      <pivotArea dataOnly="0" labelOnly="1" outline="0" axis="axisValues" fieldPosition="0"/>
    </format>
    <format dxfId="100">
      <pivotArea type="all" dataOnly="0" outline="0" fieldPosition="0"/>
    </format>
    <format dxfId="99">
      <pivotArea outline="0" collapsedLevelsAreSubtotals="1" fieldPosition="0"/>
    </format>
    <format dxfId="98">
      <pivotArea dataOnly="0" labelOnly="1" grandRow="1" outline="0" fieldPosition="0"/>
    </format>
    <format dxfId="97">
      <pivotArea dataOnly="0" labelOnly="1" outline="0" axis="axisValues" fieldPosition="0"/>
    </format>
    <format dxfId="96">
      <pivotArea dataOnly="0" labelOnly="1" fieldPosition="0">
        <references count="1">
          <reference field="10" count="0"/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BC7E5-5723-4885-86FE-61FC77F2C64F}" name="Tableau croisé dynamique1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4">
  <location ref="N86:O91" firstHeaderRow="1" firstDataRow="1" firstDataCol="1" rowPageCount="2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multipleItemSelectionAllowed="1" showAll="0" sortType="descending">
      <items count="15">
        <item x="4"/>
        <item x="2"/>
        <item m="1" x="13"/>
        <item h="1" m="1" x="6"/>
        <item x="3"/>
        <item x="1"/>
        <item h="1" x="5"/>
        <item h="1" m="1" x="10"/>
        <item h="1" m="1" x="11"/>
        <item h="1" m="1" x="12"/>
        <item h="1" m="1" x="7"/>
        <item h="1" m="1" x="8"/>
        <item h="1" m="1" x="9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 sortType="descending">
      <items count="14">
        <item x="3"/>
        <item x="1"/>
        <item x="2"/>
        <item m="1" x="11"/>
        <item m="1" x="9"/>
        <item x="4"/>
        <item m="1" x="12"/>
        <item h="1" x="7"/>
        <item x="0"/>
        <item m="1" x="10"/>
        <item h="1" x="5"/>
        <item h="1" x="6"/>
        <item h="1"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5">
    <i>
      <x v="5"/>
    </i>
    <i>
      <x v="1"/>
    </i>
    <i>
      <x/>
    </i>
    <i>
      <x v="4"/>
    </i>
    <i t="grand">
      <x/>
    </i>
  </rowItems>
  <colItems count="1">
    <i/>
  </colItems>
  <pageFields count="2">
    <pageField fld="1" hier="-1"/>
    <pageField fld="15" hier="-1"/>
  </pageFields>
  <dataFields count="1">
    <dataField name="Somme de Nombre des défauts" fld="8" baseField="0" baseItem="0"/>
  </dataFields>
  <formats count="8"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grandRow="1" outline="0" fieldPosition="0"/>
    </format>
    <format dxfId="109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dataOnly="0" labelOnly="1" grandRow="1" outline="0" fieldPosition="0"/>
    </format>
    <format dxfId="105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A009A-2EF3-49D4-93EF-1D6E4D461B65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1">
  <location ref="X85:Y91" firstHeaderRow="1" firstDataRow="1" firstDataCol="1" rowPageCount="1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measureFilter="1" sortType="descending">
      <items count="15">
        <item x="4"/>
        <item x="2"/>
        <item m="1" x="13"/>
        <item m="1" x="6"/>
        <item x="3"/>
        <item x="1"/>
        <item x="5"/>
        <item m="1" x="10"/>
        <item m="1" x="11"/>
        <item m="1" x="12"/>
        <item m="1" x="7"/>
        <item m="1" x="8"/>
        <item m="1" x="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6">
    <i>
      <x v="5"/>
    </i>
    <i>
      <x v="1"/>
    </i>
    <i>
      <x/>
    </i>
    <i>
      <x v="4"/>
    </i>
    <i>
      <x v="13"/>
    </i>
    <i t="grand">
      <x/>
    </i>
  </rowItems>
  <colItems count="1">
    <i/>
  </colItems>
  <pageFields count="1">
    <pageField fld="1" hier="-1"/>
  </pageFields>
  <dataFields count="1">
    <dataField name="Somme de Nombre des défauts" fld="8" baseField="0" baseItem="0"/>
  </dataFields>
  <formats count="8"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  <filter fld="13" type="valueGreaterThanOrEqual" evalOrder="-1" id="3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8B369-CFE9-4C64-9380-1A2AEB470A70}" name="Tableau croisé dynamique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I25" firstHeaderRow="1" firstDataRow="3" firstDataCol="1" rowPageCount="1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axis="axisRow" showAll="0">
      <items count="15">
        <item sd="0" x="0"/>
        <item sd="0" m="1" x="3"/>
        <item sd="0" m="1" x="4"/>
        <item sd="0" m="1" x="5"/>
        <item sd="0" m="1" x="6"/>
        <item sd="0" m="1" x="7"/>
        <item sd="0" m="1" x="8"/>
        <item sd="0" m="1" x="9"/>
        <item sd="0" m="1" x="10"/>
        <item sd="0" m="1" x="11"/>
        <item sd="0" m="1" x="12"/>
        <item sd="0" m="1" x="13"/>
        <item h="1" x="2"/>
        <item x="1"/>
        <item t="default"/>
      </items>
    </pivotField>
    <pivotField axis="axisRow" showAll="0">
      <items count="363">
        <item x="0"/>
        <item x="1"/>
        <item x="2"/>
        <item x="3"/>
        <item x="4"/>
        <item x="36"/>
        <item x="5"/>
        <item x="6"/>
        <item x="7"/>
        <item x="8"/>
        <item x="9"/>
        <item x="10"/>
        <item x="11"/>
        <item x="12"/>
        <item x="13"/>
        <item x="14"/>
        <item m="1" x="41"/>
        <item m="1" x="42"/>
        <item x="15"/>
        <item x="16"/>
        <item x="17"/>
        <item x="18"/>
        <item x="19"/>
        <item m="1" x="43"/>
        <item x="22"/>
        <item x="20"/>
        <item x="21"/>
        <item x="23"/>
        <item x="24"/>
        <item x="25"/>
        <item m="1" x="44"/>
        <item m="1" x="45"/>
        <item x="26"/>
        <item x="27"/>
        <item x="28"/>
        <item x="29"/>
        <item x="30"/>
        <item m="1" x="46"/>
        <item m="1" x="47"/>
        <item x="31"/>
        <item x="32"/>
        <item x="33"/>
        <item x="34"/>
        <item x="35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7"/>
        <item m="1" x="38"/>
        <item m="1" x="39"/>
        <item m="1" x="40"/>
        <item t="default"/>
      </items>
    </pivotField>
    <pivotField axis="axisCol" showAll="0">
      <items count="7">
        <item m="1" x="4"/>
        <item x="1"/>
        <item x="0"/>
        <item x="2"/>
        <item m="1" x="5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19">
    <i>
      <x/>
    </i>
    <i>
      <x v="1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2"/>
    </i>
    <i r="1">
      <x v="33"/>
    </i>
    <i r="1">
      <x v="34"/>
    </i>
    <i r="1">
      <x v="35"/>
    </i>
    <i r="1">
      <x v="36"/>
    </i>
    <i r="1">
      <x v="39"/>
    </i>
    <i r="1">
      <x v="40"/>
    </i>
    <i r="1">
      <x v="41"/>
    </i>
    <i r="1">
      <x v="42"/>
    </i>
    <i r="1">
      <x v="43"/>
    </i>
    <i t="grand">
      <x/>
    </i>
  </rowItems>
  <colFields count="2">
    <field x="-2"/>
    <field x="3"/>
  </colFields>
  <colItems count="8">
    <i>
      <x/>
      <x v="1"/>
    </i>
    <i r="1">
      <x v="2"/>
    </i>
    <i r="1">
      <x v="3"/>
    </i>
    <i i="1">
      <x v="1"/>
      <x v="1"/>
    </i>
    <i r="1" i="1">
      <x v="2"/>
    </i>
    <i r="1" i="1">
      <x v="3"/>
    </i>
    <i t="grand">
      <x/>
    </i>
    <i t="grand" i="1">
      <x/>
    </i>
  </colItems>
  <pageFields count="1">
    <pageField fld="0" hier="-1"/>
  </pageFields>
  <dataFields count="2">
    <dataField name="Somme de Nombre des piéces controlés" fld="7" baseField="0" baseItem="0"/>
    <dataField name="Somme de Nombre des défauts" fld="8" baseField="0" baseItem="0"/>
  </dataFields>
  <formats count="12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2" type="button" dataOnly="0" labelOnly="1" outline="0" axis="axisRow" fieldPosition="1"/>
    </format>
    <format dxfId="129">
      <pivotArea dataOnly="0" labelOnly="1" fieldPosition="0">
        <references count="1">
          <reference field="2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2" type="button" dataOnly="0" labelOnly="1" outline="0" axis="axisRow" fieldPosition="1"/>
    </format>
    <format dxfId="123">
      <pivotArea dataOnly="0" labelOnly="1" fieldPosition="0">
        <references count="1">
          <reference field="2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F22F1-1012-41DB-88FB-2D8FF244CE25}" name="Tableau croisé dynamique14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0">
  <location ref="A179:B192" firstHeaderRow="1" firstDataRow="1" firstDataCol="1" rowPageCount="2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axis="axisPage" showAll="0">
      <items count="15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x="1"/>
        <item t="default"/>
      </items>
    </pivotField>
    <pivotField multipleItemSelectionAllowed="1" showAll="0"/>
    <pivotField showAll="0"/>
    <pivotField showAll="0"/>
    <pivotField showAll="0"/>
    <pivotField axis="axisRow" showAll="0" sortType="descending">
      <items count="4">
        <item x="0"/>
        <item x="1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multipleItemSelectionAllowed="1" showAll="0" sortType="descending">
      <items count="14">
        <item m="1" x="10"/>
        <item x="3"/>
        <item x="1"/>
        <item x="5"/>
        <item x="2"/>
        <item m="1" x="11"/>
        <item m="1" x="9"/>
        <item h="1" x="0"/>
        <item x="4"/>
        <item m="1" x="12"/>
        <item h="1" x="7"/>
        <item h="1" x="6"/>
        <item h="1"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15"/>
  </rowFields>
  <rowItems count="13">
    <i>
      <x v="1"/>
    </i>
    <i r="1">
      <x v="1"/>
    </i>
    <i r="1">
      <x v="2"/>
    </i>
    <i r="1">
      <x v="4"/>
    </i>
    <i r="1">
      <x v="8"/>
    </i>
    <i r="1">
      <x v="3"/>
    </i>
    <i>
      <x/>
    </i>
    <i r="1">
      <x v="2"/>
    </i>
    <i r="1">
      <x v="4"/>
    </i>
    <i r="1">
      <x v="8"/>
    </i>
    <i r="1">
      <x v="1"/>
    </i>
    <i r="1">
      <x v="3"/>
    </i>
    <i t="grand">
      <x/>
    </i>
  </rowItems>
  <colItems count="1">
    <i/>
  </colItems>
  <pageFields count="2">
    <pageField fld="0" hier="-1"/>
    <pageField fld="1" hier="-1"/>
  </pageFields>
  <dataFields count="1">
    <dataField name="Somme de Nombre des défauts" fld="8" baseField="0" baseItem="0"/>
  </dataFields>
  <formats count="8">
    <format dxfId="140">
      <pivotArea type="all" dataOnly="0" outline="0" fieldPosition="0"/>
    </format>
    <format dxfId="139">
      <pivotArea outline="0" collapsedLevelsAreSubtotals="1" fieldPosition="0"/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dataOnly="0" labelOnly="1" grandRow="1" outline="0" fieldPosition="0"/>
    </format>
    <format dxfId="133">
      <pivotArea dataOnly="0" labelOnly="1" outline="0" axis="axisValues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8A0A0-85BE-4E61-BD71-F5F9DEF60E9A}" name="Tableau croisé dynamique16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6">
  <location ref="G309:H318" firstHeaderRow="1" firstDataRow="1" firstDataCol="1" rowPageCount="3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axis="axisPage" showAll="0">
      <items count="15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x="1"/>
        <item t="default"/>
      </items>
    </pivotField>
    <pivotField multipleItemSelectionAllowed="1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Row" showAll="0" sortType="descending">
      <items count="34">
        <item m="1" x="25"/>
        <item m="1" x="13"/>
        <item m="1" x="30"/>
        <item m="1" x="28"/>
        <item m="1" x="32"/>
        <item m="1" x="24"/>
        <item m="1" x="31"/>
        <item m="1" x="27"/>
        <item h="1" m="1" x="12"/>
        <item m="1" x="26"/>
        <item m="1" x="29"/>
        <item h="1" x="11"/>
        <item x="5"/>
        <item x="2"/>
        <item m="1" x="22"/>
        <item x="7"/>
        <item x="4"/>
        <item x="1"/>
        <item x="8"/>
        <item x="6"/>
        <item x="3"/>
        <item x="9"/>
        <item x="10"/>
        <item m="1" x="23"/>
        <item h="1" m="1" x="21"/>
        <item h="1" m="1" x="14"/>
        <item h="1" m="1" x="15"/>
        <item h="1" m="1" x="16"/>
        <item h="1" m="1" x="17"/>
        <item h="1" m="1" x="18"/>
        <item h="1" m="1" x="19"/>
        <item h="1" m="1" x="2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4">
        <item m="1" x="10"/>
        <item h="1" x="3"/>
        <item h="1" x="1"/>
        <item x="5"/>
        <item h="1" x="2"/>
        <item m="1" x="11"/>
        <item m="1" x="9"/>
        <item h="1" x="0"/>
        <item x="4"/>
        <item m="1" x="12"/>
        <item h="1" x="7"/>
        <item h="1" x="6"/>
        <item h="1" m="1" x="8"/>
        <item t="default"/>
      </items>
    </pivotField>
  </pivotFields>
  <rowFields count="2">
    <field x="6"/>
    <field x="10"/>
  </rowFields>
  <rowItems count="9">
    <i>
      <x/>
    </i>
    <i r="1">
      <x v="22"/>
    </i>
    <i r="1">
      <x v="16"/>
    </i>
    <i r="1">
      <x v="18"/>
    </i>
    <i r="1">
      <x v="21"/>
    </i>
    <i>
      <x v="1"/>
    </i>
    <i r="1">
      <x v="16"/>
    </i>
    <i r="1">
      <x v="22"/>
    </i>
    <i t="grand">
      <x/>
    </i>
  </rowItems>
  <colItems count="1">
    <i/>
  </colItems>
  <pageFields count="3">
    <pageField fld="0" hier="-1"/>
    <pageField fld="1" hier="-1"/>
    <pageField fld="15" hier="-1"/>
  </pageFields>
  <dataFields count="1">
    <dataField name="Somme de Nombre des défauts" fld="8" baseField="0" baseItem="0"/>
  </dataFields>
  <formats count="9">
    <format dxfId="149">
      <pivotArea type="all" dataOnly="0" outline="0" fieldPosition="0"/>
    </format>
    <format dxfId="148">
      <pivotArea outline="0" collapsedLevelsAreSubtotals="1" fieldPosition="0"/>
    </format>
    <format dxfId="147">
      <pivotArea dataOnly="0" labelOnly="1" grandRow="1" outline="0" fieldPosition="0"/>
    </format>
    <format dxfId="146">
      <pivotArea dataOnly="0" labelOnly="1" outline="0" axis="axisValues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dataOnly="0" labelOnly="1" grandRow="1" outline="0" fieldPosition="0"/>
    </format>
    <format dxfId="142">
      <pivotArea dataOnly="0" labelOnly="1" outline="0" axis="axisValues" fieldPosition="0"/>
    </format>
    <format dxfId="141">
      <pivotArea dataOnly="0" labelOnly="1" fieldPosition="0">
        <references count="1">
          <reference field="10" count="0"/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271FB8-C840-4DE5-A5E4-86B78E7DD864}" name="Tableau croisé dynamique19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4">
  <location ref="T156:U160" firstHeaderRow="1" firstDataRow="1" firstDataCol="1" rowPageCount="2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h="1"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multipleItemSelectionAllowed="1" showAll="0" sortType="descending">
      <items count="15">
        <item x="4"/>
        <item x="2"/>
        <item m="1" x="13"/>
        <item h="1" m="1" x="6"/>
        <item x="3"/>
        <item x="1"/>
        <item h="1" x="5"/>
        <item h="1" m="1" x="10"/>
        <item h="1" m="1" x="11"/>
        <item h="1" m="1" x="12"/>
        <item h="1" m="1" x="7"/>
        <item h="1" m="1" x="8"/>
        <item h="1" m="1" x="9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multipleItemSelectionAllowed="1" showAll="0" sortType="descending">
      <items count="14">
        <item h="1" x="3"/>
        <item x="1"/>
        <item h="1" x="2"/>
        <item m="1" x="11"/>
        <item m="1" x="9"/>
        <item h="1" x="4"/>
        <item m="1" x="12"/>
        <item h="1" x="7"/>
        <item h="1" x="0"/>
        <item m="1" x="10"/>
        <item h="1" x="5"/>
        <item h="1" x="6"/>
        <item h="1"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4">
    <i>
      <x v="5"/>
    </i>
    <i>
      <x v="1"/>
    </i>
    <i>
      <x v="4"/>
    </i>
    <i t="grand">
      <x/>
    </i>
  </rowItems>
  <colItems count="1">
    <i/>
  </colItems>
  <pageFields count="2">
    <pageField fld="1" hier="-1"/>
    <pageField fld="15" hier="-1"/>
  </pageFields>
  <dataFields count="1">
    <dataField name="Somme de Nombre des défauts" fld="8" baseField="0" baseItem="0"/>
  </dataFields>
  <formats count="8">
    <format dxfId="157">
      <pivotArea type="all" dataOnly="0" outline="0" fieldPosition="0"/>
    </format>
    <format dxfId="156">
      <pivotArea outline="0" collapsedLevelsAreSubtotals="1" fieldPosition="0"/>
    </format>
    <format dxfId="155">
      <pivotArea dataOnly="0" labelOnly="1" grandRow="1" outline="0" fieldPosition="0"/>
    </format>
    <format dxfId="154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dataOnly="0" labelOnly="1" grandRow="1" outline="0" fieldPosition="0"/>
    </format>
    <format dxfId="150">
      <pivotArea dataOnly="0" labelOnly="1" outline="0" axis="axisValues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06F4E-06B1-4C60-8E30-6BFE7E980467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4">
  <location ref="N6:P10" firstHeaderRow="0" firstDataRow="1" firstDataCol="1" rowPageCount="3" colPageCount="1"/>
  <pivotFields count="16">
    <pivotField showAll="0"/>
    <pivotField axis="axisPage" multipleItemSelectionAllowed="1" showAll="0">
      <items count="15">
        <item h="1"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t="default"/>
      </items>
    </pivotField>
    <pivotField showAll="0"/>
    <pivotField axis="axisRow" showAll="0" sortType="descending">
      <items count="7">
        <item m="1" x="4"/>
        <item x="0"/>
        <item m="1" x="5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 sortType="descending">
      <items count="14">
        <item x="3"/>
        <item x="1"/>
        <item x="2"/>
        <item m="1" x="11"/>
        <item m="1" x="9"/>
        <item x="4"/>
        <item m="1" x="12"/>
        <item x="7"/>
        <item x="0"/>
        <item m="1" x="10"/>
        <item x="5"/>
        <item x="6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3">
    <pageField fld="1" hier="-1"/>
    <pageField fld="6" hier="-1"/>
    <pageField fld="15" hier="-1"/>
  </pageFields>
  <dataFields count="2">
    <dataField name="Somme de Nombre des piéces controlés" fld="7" baseField="0" baseItem="0"/>
    <dataField name="Somme de Nombre des défauts" fld="8" baseField="0" baseItem="0"/>
  </dataFields>
  <formats count="8">
    <format dxfId="165">
      <pivotArea type="all" dataOnly="0" outline="0" fieldPosition="0"/>
    </format>
    <format dxfId="164">
      <pivotArea outline="0" collapsedLevelsAreSubtotals="1" fieldPosition="0"/>
    </format>
    <format dxfId="163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3DE20-385D-4000-9658-D6E595BFC379}" name="Tableau croisé dynamique6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7">
  <location ref="E88:F97" firstHeaderRow="1" firstDataRow="1" firstDataCol="1" rowPageCount="2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showAll="0"/>
    <pivotField axis="axisPage" multipleItemSelectionAllowed="1" showAll="0">
      <items count="363">
        <item h="1" x="0"/>
        <item h="1" x="1"/>
        <item h="1" x="2"/>
        <item h="1" x="3"/>
        <item h="1" x="4"/>
        <item h="1" x="36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m="1" x="41"/>
        <item h="1" m="1" x="42"/>
        <item h="1" x="15"/>
        <item h="1" x="16"/>
        <item h="1" x="17"/>
        <item h="1" x="18"/>
        <item h="1" x="19"/>
        <item h="1" m="1" x="43"/>
        <item h="1" x="22"/>
        <item h="1" x="20"/>
        <item h="1" x="21"/>
        <item h="1" x="23"/>
        <item h="1" x="24"/>
        <item h="1" x="25"/>
        <item h="1" m="1" x="44"/>
        <item h="1" m="1" x="45"/>
        <item h="1" x="26"/>
        <item h="1" x="27"/>
        <item h="1" x="28"/>
        <item h="1" x="29"/>
        <item h="1" x="30"/>
        <item h="1" m="1" x="46"/>
        <item h="1" m="1" x="47"/>
        <item h="1" x="31"/>
        <item h="1" x="32"/>
        <item h="1" x="33"/>
        <item h="1" x="34"/>
        <item x="35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7"/>
        <item h="1" m="1" x="38"/>
        <item h="1" m="1" x="39"/>
        <item h="1" m="1" x="4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measureFilter="1" sortType="descending">
      <items count="85"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19"/>
        <item x="3"/>
        <item x="7"/>
        <item x="6"/>
        <item x="14"/>
        <item x="18"/>
        <item x="10"/>
        <item x="13"/>
        <item x="8"/>
        <item x="21"/>
        <item x="12"/>
        <item x="1"/>
        <item x="20"/>
        <item x="5"/>
        <item x="9"/>
        <item x="56"/>
        <item x="23"/>
        <item x="24"/>
        <item x="25"/>
        <item x="26"/>
        <item x="27"/>
        <item x="2"/>
        <item x="28"/>
        <item x="29"/>
        <item x="30"/>
        <item x="4"/>
        <item x="32"/>
        <item x="33"/>
        <item x="34"/>
        <item x="35"/>
        <item x="36"/>
        <item x="37"/>
        <item x="38"/>
        <item x="39"/>
        <item x="11"/>
        <item x="15"/>
        <item x="16"/>
        <item x="17"/>
        <item x="31"/>
        <item x="22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x="53"/>
        <item x="54"/>
        <item x="0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1"/>
  </rowFields>
  <rowItems count="9">
    <i>
      <x v="27"/>
    </i>
    <i>
      <x v="33"/>
    </i>
    <i>
      <x v="23"/>
    </i>
    <i>
      <x v="41"/>
    </i>
    <i>
      <x v="57"/>
    </i>
    <i>
      <x v="67"/>
    </i>
    <i>
      <x v="21"/>
    </i>
    <i>
      <x v="28"/>
    </i>
    <i t="grand">
      <x/>
    </i>
  </rowItems>
  <colItems count="1">
    <i/>
  </colItems>
  <pageFields count="2">
    <pageField fld="0" hier="-1"/>
    <pageField fld="2" hier="-1"/>
  </pageFields>
  <dataFields count="1">
    <dataField name="Somme de Nombre des défauts" fld="8" baseField="0" baseItem="0"/>
  </dataFields>
  <formats count="8"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grandRow="1" outline="0" fieldPosition="0"/>
    </format>
    <format dxfId="166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FBC9B-D3CE-4F29-9522-6935B12D804C}" name="Tableau croisé dynamique1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5">
  <location ref="E147:F220" firstHeaderRow="1" firstDataRow="1" firstDataCol="1" rowPageCount="1" colPageCount="1"/>
  <pivotFields count="16">
    <pivotField showAll="0"/>
    <pivotField axis="axisPage" multipleItemSelectionAllowed="1" showAll="0">
      <items count="15">
        <item x="0"/>
        <item x="1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 sortType="descending">
      <items count="34">
        <item m="1" x="25"/>
        <item m="1" x="13"/>
        <item m="1" x="30"/>
        <item m="1" x="28"/>
        <item m="1" x="32"/>
        <item m="1" x="24"/>
        <item m="1" x="31"/>
        <item m="1" x="27"/>
        <item m="1" x="12"/>
        <item m="1" x="26"/>
        <item m="1" x="29"/>
        <item x="11"/>
        <item x="5"/>
        <item x="2"/>
        <item m="1" x="22"/>
        <item x="7"/>
        <item x="4"/>
        <item x="1"/>
        <item x="8"/>
        <item x="6"/>
        <item x="3"/>
        <item x="9"/>
        <item x="10"/>
        <item m="1" x="23"/>
        <item m="1" x="21"/>
        <item m="1" x="14"/>
        <item m="1" x="15"/>
        <item m="1" x="16"/>
        <item m="1" x="17"/>
        <item m="1" x="18"/>
        <item m="1" x="19"/>
        <item m="1"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5"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x="32"/>
        <item x="36"/>
        <item x="24"/>
        <item x="23"/>
        <item x="19"/>
        <item x="3"/>
        <item x="28"/>
        <item x="22"/>
        <item x="15"/>
        <item x="7"/>
        <item x="26"/>
        <item x="29"/>
        <item x="6"/>
        <item x="14"/>
        <item x="37"/>
        <item x="25"/>
        <item x="27"/>
        <item x="34"/>
        <item x="33"/>
        <item x="2"/>
        <item x="16"/>
        <item x="18"/>
        <item x="31"/>
        <item x="35"/>
        <item x="10"/>
        <item x="13"/>
        <item x="8"/>
        <item x="4"/>
        <item x="21"/>
        <item x="12"/>
        <item x="30"/>
        <item x="11"/>
        <item x="1"/>
        <item x="20"/>
        <item x="17"/>
        <item x="39"/>
        <item x="5"/>
        <item x="9"/>
        <item x="38"/>
        <item x="5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x="53"/>
        <item x="54"/>
        <item x="0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10"/>
    <field x="11"/>
  </rowFields>
  <rowItems count="73">
    <i>
      <x v="17"/>
    </i>
    <i r="1">
      <x v="48"/>
    </i>
    <i r="1">
      <x v="41"/>
    </i>
    <i r="1">
      <x v="43"/>
    </i>
    <i r="1">
      <x v="49"/>
    </i>
    <i r="1">
      <x v="40"/>
    </i>
    <i r="1">
      <x v="29"/>
    </i>
    <i r="1">
      <x v="42"/>
    </i>
    <i r="1">
      <x v="67"/>
    </i>
    <i r="1">
      <x v="52"/>
    </i>
    <i r="1">
      <x v="20"/>
    </i>
    <i r="1">
      <x v="21"/>
    </i>
    <i r="1">
      <x v="57"/>
    </i>
    <i r="1">
      <x v="30"/>
    </i>
    <i r="1">
      <x v="62"/>
    </i>
    <i r="1">
      <x v="22"/>
    </i>
    <i r="1">
      <x v="81"/>
    </i>
    <i r="1">
      <x v="37"/>
    </i>
    <i r="1">
      <x v="45"/>
    </i>
    <i r="1">
      <x v="58"/>
    </i>
    <i r="1">
      <x v="80"/>
    </i>
    <i r="1">
      <x v="47"/>
    </i>
    <i r="1">
      <x v="27"/>
    </i>
    <i r="1">
      <x v="24"/>
    </i>
    <i r="1">
      <x v="65"/>
    </i>
    <i r="1">
      <x v="66"/>
    </i>
    <i>
      <x v="20"/>
    </i>
    <i r="1">
      <x v="51"/>
    </i>
    <i r="1">
      <x v="48"/>
    </i>
    <i r="1">
      <x v="35"/>
    </i>
    <i r="1">
      <x v="54"/>
    </i>
    <i r="1">
      <x v="25"/>
    </i>
    <i r="1">
      <x v="61"/>
    </i>
    <i r="1">
      <x v="21"/>
    </i>
    <i r="1">
      <x v="60"/>
    </i>
    <i r="1">
      <x v="27"/>
    </i>
    <i r="1">
      <x v="52"/>
    </i>
    <i r="1">
      <x v="16"/>
    </i>
    <i r="1">
      <x v="26"/>
    </i>
    <i r="1">
      <x v="45"/>
    </i>
    <i r="1">
      <x v="39"/>
    </i>
    <i r="1">
      <x v="57"/>
    </i>
    <i r="1">
      <x v="66"/>
    </i>
    <i r="1">
      <x v="41"/>
    </i>
    <i r="1">
      <x v="23"/>
    </i>
    <i r="1">
      <x v="18"/>
    </i>
    <i r="1">
      <x v="29"/>
    </i>
    <i r="1">
      <x v="22"/>
    </i>
    <i r="1">
      <x v="49"/>
    </i>
    <i r="1">
      <x v="64"/>
    </i>
    <i r="1">
      <x v="32"/>
    </i>
    <i r="1">
      <x v="43"/>
    </i>
    <i r="1">
      <x v="33"/>
    </i>
    <i>
      <x v="13"/>
    </i>
    <i r="1">
      <x v="63"/>
    </i>
    <i r="1">
      <x v="43"/>
    </i>
    <i r="1">
      <x v="35"/>
    </i>
    <i r="1">
      <x v="57"/>
    </i>
    <i r="1">
      <x v="52"/>
    </i>
    <i r="1">
      <x v="53"/>
    </i>
    <i r="1">
      <x v="31"/>
    </i>
    <i r="1">
      <x v="42"/>
    </i>
    <i r="1">
      <x v="48"/>
    </i>
    <i r="1">
      <x v="45"/>
    </i>
    <i r="1">
      <x v="50"/>
    </i>
    <i r="1">
      <x v="37"/>
    </i>
    <i r="1">
      <x v="41"/>
    </i>
    <i r="1">
      <x v="34"/>
    </i>
    <i r="1">
      <x v="49"/>
    </i>
    <i r="1">
      <x v="20"/>
    </i>
    <i r="1">
      <x v="32"/>
    </i>
    <i r="1">
      <x v="44"/>
    </i>
    <i t="grand">
      <x/>
    </i>
  </rowItems>
  <colItems count="1">
    <i/>
  </colItems>
  <pageFields count="1">
    <pageField fld="1" hier="-1"/>
  </pageFields>
  <dataFields count="1">
    <dataField name="Somme de Nombre des défauts" fld="8" baseField="0" baseItem="0"/>
  </dataFields>
  <formats count="9">
    <format dxfId="182">
      <pivotArea type="all" dataOnly="0" outline="0" fieldPosition="0"/>
    </format>
    <format dxfId="181">
      <pivotArea outline="0" collapsedLevelsAreSubtotals="1" fieldPosition="0"/>
    </format>
    <format dxfId="180">
      <pivotArea dataOnly="0" labelOnly="1" grandRow="1" outline="0" fieldPosition="0"/>
    </format>
    <format dxfId="179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dataOnly="0" labelOnly="1" grandRow="1" outline="0" fieldPosition="0"/>
    </format>
    <format dxfId="175">
      <pivotArea dataOnly="0" labelOnly="1" outline="0" axis="axisValues" fieldPosition="0"/>
    </format>
    <format dxfId="174">
      <pivotArea dataOnly="0" labelOnly="1" fieldPosition="0">
        <references count="1">
          <reference field="10" count="0"/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valueGreaterThanOrEqual" evalOrder="-1" id="7" iMeasureFld="0">
      <autoFilter ref="A1">
        <filterColumn colId="0">
          <customFilters>
            <customFilter operator="greaterThanOrEqual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E40D8-3685-4FDB-A5D0-C7E51F7C63B0}" name="Tableau croisé dynamique1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1">
  <location ref="C242:D248" firstHeaderRow="1" firstDataRow="1" firstDataCol="1" rowPageCount="3" colPageCount="1"/>
  <pivotFields count="16">
    <pivotField axis="axisPage" showAll="0">
      <items count="9">
        <item x="0"/>
        <item x="7"/>
        <item x="1"/>
        <item x="2"/>
        <item x="3"/>
        <item x="4"/>
        <item x="5"/>
        <item x="6"/>
        <item t="default"/>
      </items>
    </pivotField>
    <pivotField axis="axisPage" showAll="0">
      <items count="15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2"/>
        <item x="1"/>
        <item t="default"/>
      </items>
    </pivotField>
    <pivotField multipleItemSelectionAllowed="1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axis="axisRow" showAll="0" sortType="descending">
      <items count="34">
        <item m="1" x="25"/>
        <item m="1" x="13"/>
        <item m="1" x="30"/>
        <item m="1" x="28"/>
        <item m="1" x="32"/>
        <item m="1" x="24"/>
        <item m="1" x="31"/>
        <item m="1" x="27"/>
        <item h="1" m="1" x="12"/>
        <item m="1" x="26"/>
        <item m="1" x="29"/>
        <item h="1" x="11"/>
        <item x="5"/>
        <item x="2"/>
        <item m="1" x="22"/>
        <item x="7"/>
        <item x="4"/>
        <item x="1"/>
        <item x="8"/>
        <item x="6"/>
        <item x="3"/>
        <item x="9"/>
        <item x="10"/>
        <item m="1" x="23"/>
        <item h="1" m="1" x="21"/>
        <item h="1" m="1" x="14"/>
        <item h="1" m="1" x="15"/>
        <item h="1" m="1" x="16"/>
        <item h="1" m="1" x="17"/>
        <item h="1" m="1" x="18"/>
        <item h="1" m="1" x="19"/>
        <item h="1" m="1" x="20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14">
        <item m="1" x="10"/>
        <item h="1" x="3"/>
        <item h="1" x="1"/>
        <item h="1" x="5"/>
        <item x="2"/>
        <item m="1" x="11"/>
        <item m="1" x="9"/>
        <item h="1" x="0"/>
        <item h="1" x="4"/>
        <item m="1" x="12"/>
        <item h="1" x="7"/>
        <item h="1" x="6"/>
        <item h="1" m="1" x="8"/>
        <item t="default"/>
      </items>
    </pivotField>
  </pivotFields>
  <rowFields count="2">
    <field x="6"/>
    <field x="10"/>
  </rowFields>
  <rowItems count="6">
    <i>
      <x v="1"/>
    </i>
    <i r="1">
      <x v="13"/>
    </i>
    <i r="1">
      <x v="19"/>
    </i>
    <i>
      <x/>
    </i>
    <i r="1">
      <x v="13"/>
    </i>
    <i t="grand">
      <x/>
    </i>
  </rowItems>
  <colItems count="1">
    <i/>
  </colItems>
  <pageFields count="3">
    <pageField fld="0" hier="-1"/>
    <pageField fld="1" hier="-1"/>
    <pageField fld="15" hier="-1"/>
  </pageFields>
  <dataFields count="1">
    <dataField name="Somme de Nombre des défauts" fld="8" baseField="0" baseItem="0"/>
  </dataFields>
  <formats count="9">
    <format dxfId="191">
      <pivotArea type="all" dataOnly="0" outline="0" fieldPosition="0"/>
    </format>
    <format dxfId="190">
      <pivotArea outline="0" collapsedLevelsAreSubtotals="1" fieldPosition="0"/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dataOnly="0" labelOnly="1" grandRow="1" outline="0" fieldPosition="0"/>
    </format>
    <format dxfId="184">
      <pivotArea dataOnly="0" labelOnly="1" outline="0" axis="axisValues" fieldPosition="0"/>
    </format>
    <format dxfId="183">
      <pivotArea dataOnly="0" labelOnly="1" fieldPosition="0">
        <references count="1">
          <reference field="10" count="0"/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valueGreaterThanOrEqual" evalOrder="-1" id="2" iMeasureFld="0">
      <autoFilter ref="A1">
        <filterColumn colId="0">
          <customFilters>
            <customFilter operator="greaterThanOrEqual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68E4B-3C9A-4103-94E7-4DA17E3B7A8E}" name="Table1" displayName="Table1" ref="A1:P674" totalsRowShown="0" headerRowDxfId="17" dataDxfId="16">
  <autoFilter ref="A1:P674" xr:uid="{B6D68E4B-3C9A-4103-94E7-4DA17E3B7A8E}"/>
  <tableColumns count="16">
    <tableColumn id="13" xr3:uid="{206316D4-3EBA-4FCF-B983-BEC16223449D}" name="KW" dataDxfId="15"/>
    <tableColumn id="16" xr3:uid="{0CEED095-84D7-4D79-8EB6-446033E1E21C}" name="Mois" dataDxfId="14"/>
    <tableColumn id="1" xr3:uid="{E293A12C-5610-4516-9C94-45343E2D6155}" name="Date" dataDxfId="13"/>
    <tableColumn id="14" xr3:uid="{BDC9FCAA-A9A2-4EC2-B188-1A491137B568}" name="detecter par" dataDxfId="12"/>
    <tableColumn id="2" xr3:uid="{4B142CE5-B5F2-48FD-95B5-EE5BC60168CF}" name="Controler par2" dataDxfId="11"/>
    <tableColumn id="3" xr3:uid="{6DF9CEF8-55D5-4011-ABC4-73BAAE8925DE}" name="N°Order" dataDxfId="10"/>
    <tableColumn id="4" xr3:uid="{7DEA60EB-1D2E-4035-93AA-A631097E1741}" name="Statu" dataDxfId="9"/>
    <tableColumn id="5" xr3:uid="{C9608F35-6A96-421C-A7BF-E22C8FED556B}" name="Nombre des piéces controlés" dataDxfId="8"/>
    <tableColumn id="6" xr3:uid="{D9C84C12-472B-4EC7-8F1C-06C62F0BA2C9}" name="Nombre des défauts" dataDxfId="7"/>
    <tableColumn id="7" xr3:uid="{E2EF2873-01A2-4ECF-AC05-E6748342E515}" name="Piéce NIO" dataDxfId="6"/>
    <tableColumn id="15" xr3:uid="{46CDB7D7-3828-46D3-B936-08D7EA318EBD}" name="type technique du defaut" dataDxfId="5"/>
    <tableColumn id="8" xr3:uid="{4DC7E8CE-4487-444B-9832-CA6010E4E3A6}" name="Description du defaut" dataDxfId="4"/>
    <tableColumn id="9" xr3:uid="{A79CC96A-B958-427A-B5DE-15B2E677EB49}" name="N°QRQC" dataDxfId="3"/>
    <tableColumn id="10" xr3:uid="{095B291C-89D7-4906-8449-28D295A5CE3A}" name="Action de correction" dataDxfId="2"/>
    <tableColumn id="18" xr3:uid="{4BC626C1-C830-4B9A-A96D-323CEAA61992}" name="Detail de l'action" dataDxfId="1"/>
    <tableColumn id="11" xr3:uid="{47591681-0A26-4208-A3D9-5EC8370016AD}" name="Origine de défau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drawing" Target="../drawings/drawing2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94CE-3F90-40B1-A457-2F384A96CCAF}">
  <dimension ref="A1:T30"/>
  <sheetViews>
    <sheetView zoomScale="85" zoomScaleNormal="85" workbookViewId="0">
      <pane ySplit="1" topLeftCell="A69" activePane="bottomLeft" state="frozen"/>
      <selection pane="bottomLeft" activeCell="V82" sqref="V82"/>
    </sheetView>
  </sheetViews>
  <sheetFormatPr defaultColWidth="11.5546875" defaultRowHeight="14.4" x14ac:dyDescent="0.3"/>
  <cols>
    <col min="1" max="1" width="22.5546875" customWidth="1"/>
    <col min="3" max="3" width="10.44140625" bestFit="1" customWidth="1"/>
    <col min="9" max="19" width="12.88671875" bestFit="1" customWidth="1"/>
  </cols>
  <sheetData>
    <row r="1" spans="1:20" ht="15" thickBot="1" x14ac:dyDescent="0.35">
      <c r="A1" s="57" t="s">
        <v>480</v>
      </c>
      <c r="B1" s="58">
        <v>2009</v>
      </c>
      <c r="C1" s="58">
        <v>2010</v>
      </c>
      <c r="D1" s="58">
        <v>2011</v>
      </c>
      <c r="E1" s="58">
        <v>2012</v>
      </c>
      <c r="F1" s="58">
        <v>2013</v>
      </c>
      <c r="G1" s="58">
        <v>2014</v>
      </c>
      <c r="H1" s="58">
        <v>2015</v>
      </c>
      <c r="I1" s="58">
        <v>2016</v>
      </c>
      <c r="J1" s="58">
        <v>2017</v>
      </c>
      <c r="K1" s="58">
        <v>2018</v>
      </c>
      <c r="L1" s="58">
        <v>2019</v>
      </c>
      <c r="M1" s="58">
        <v>2020</v>
      </c>
      <c r="N1" s="58">
        <v>2021</v>
      </c>
      <c r="O1" s="58">
        <v>2022</v>
      </c>
      <c r="P1" s="58">
        <v>2023</v>
      </c>
      <c r="Q1" s="58">
        <v>2024</v>
      </c>
      <c r="R1" s="58">
        <v>2025</v>
      </c>
      <c r="S1" s="59">
        <v>2026</v>
      </c>
    </row>
    <row r="2" spans="1:20" ht="15" thickBot="1" x14ac:dyDescent="0.35">
      <c r="A2" s="57" t="s">
        <v>485</v>
      </c>
      <c r="B2" s="58">
        <v>1</v>
      </c>
      <c r="C2" s="58">
        <v>1</v>
      </c>
      <c r="D2" s="58">
        <v>3</v>
      </c>
      <c r="E2" s="58">
        <v>3</v>
      </c>
      <c r="F2" s="58">
        <v>5</v>
      </c>
      <c r="G2" s="58">
        <v>5</v>
      </c>
      <c r="H2" s="58">
        <v>6</v>
      </c>
      <c r="I2" s="58">
        <v>6</v>
      </c>
      <c r="J2" s="58">
        <v>6</v>
      </c>
      <c r="K2" s="58">
        <v>6</v>
      </c>
      <c r="L2" s="58">
        <v>8</v>
      </c>
      <c r="M2" s="58">
        <v>10</v>
      </c>
      <c r="N2" s="58">
        <v>10</v>
      </c>
      <c r="O2" s="58">
        <v>10</v>
      </c>
      <c r="P2" s="58">
        <v>10</v>
      </c>
      <c r="Q2" s="58">
        <v>10</v>
      </c>
      <c r="R2" s="58">
        <v>10</v>
      </c>
      <c r="S2" s="59">
        <v>10</v>
      </c>
    </row>
    <row r="3" spans="1:20" ht="15" thickBot="1" x14ac:dyDescent="0.35">
      <c r="A3" s="57" t="s">
        <v>486</v>
      </c>
      <c r="B3" s="58">
        <v>3</v>
      </c>
      <c r="C3" s="58">
        <v>15</v>
      </c>
      <c r="D3" s="58">
        <v>23</v>
      </c>
      <c r="E3" s="58">
        <v>26</v>
      </c>
      <c r="F3" s="58">
        <v>39</v>
      </c>
      <c r="G3" s="58">
        <v>41</v>
      </c>
      <c r="H3" s="58">
        <v>43</v>
      </c>
      <c r="I3" s="58">
        <v>43</v>
      </c>
      <c r="J3" s="58">
        <v>45</v>
      </c>
      <c r="K3" s="58">
        <v>65</v>
      </c>
      <c r="L3" s="58">
        <v>86</v>
      </c>
      <c r="M3" s="58">
        <v>86</v>
      </c>
      <c r="N3" s="58">
        <v>86</v>
      </c>
      <c r="O3" s="58">
        <v>83</v>
      </c>
      <c r="P3" s="58">
        <v>81</v>
      </c>
      <c r="Q3" s="58">
        <v>78</v>
      </c>
      <c r="R3" s="58">
        <v>64</v>
      </c>
      <c r="S3" s="59">
        <v>66</v>
      </c>
    </row>
    <row r="4" spans="1:20" ht="28.8" x14ac:dyDescent="0.3">
      <c r="A4" s="60" t="s">
        <v>482</v>
      </c>
      <c r="B4" s="61">
        <v>80</v>
      </c>
      <c r="C4" s="61">
        <v>200</v>
      </c>
      <c r="D4" s="61">
        <v>850</v>
      </c>
      <c r="E4" s="61">
        <v>900</v>
      </c>
      <c r="F4" s="61">
        <v>1500</v>
      </c>
      <c r="G4" s="61">
        <v>2000</v>
      </c>
      <c r="H4" s="61">
        <v>2000</v>
      </c>
      <c r="I4" s="61">
        <v>3000</v>
      </c>
      <c r="J4" s="61">
        <v>4500</v>
      </c>
      <c r="K4" s="61">
        <v>6500</v>
      </c>
      <c r="L4" s="61">
        <v>7000</v>
      </c>
      <c r="M4" s="61">
        <v>7000</v>
      </c>
      <c r="N4" s="61">
        <v>7000</v>
      </c>
      <c r="O4" s="61">
        <v>8000</v>
      </c>
      <c r="P4" s="61">
        <v>7000</v>
      </c>
      <c r="Q4" s="61">
        <v>6500</v>
      </c>
      <c r="R4" s="61">
        <v>6500</v>
      </c>
      <c r="S4" s="62">
        <f>207*40</f>
        <v>8280</v>
      </c>
    </row>
    <row r="5" spans="1:20" ht="34.5" customHeight="1" thickBot="1" x14ac:dyDescent="0.35">
      <c r="A5" s="63" t="s">
        <v>481</v>
      </c>
      <c r="B5" s="64">
        <v>86</v>
      </c>
      <c r="C5" s="64">
        <v>225</v>
      </c>
      <c r="D5" s="64">
        <v>907</v>
      </c>
      <c r="E5" s="64">
        <v>914</v>
      </c>
      <c r="F5" s="64">
        <v>1871</v>
      </c>
      <c r="G5" s="64">
        <v>2150</v>
      </c>
      <c r="H5" s="64">
        <v>636</v>
      </c>
      <c r="I5" s="64">
        <v>3400</v>
      </c>
      <c r="J5" s="64">
        <v>4714</v>
      </c>
      <c r="K5" s="64">
        <v>6633</v>
      </c>
      <c r="L5" s="64">
        <v>7000</v>
      </c>
      <c r="M5" s="64">
        <v>7910</v>
      </c>
      <c r="N5" s="64">
        <v>7009</v>
      </c>
      <c r="O5" s="64">
        <v>8479</v>
      </c>
      <c r="P5" s="64">
        <v>6949</v>
      </c>
      <c r="Q5" s="64">
        <v>6885</v>
      </c>
      <c r="R5" s="64">
        <v>8367</v>
      </c>
      <c r="S5" s="65"/>
    </row>
    <row r="6" spans="1:20" ht="43.2" x14ac:dyDescent="0.3">
      <c r="A6" s="60" t="s">
        <v>484</v>
      </c>
      <c r="B6" s="66">
        <v>20000</v>
      </c>
      <c r="C6" s="66">
        <f t="shared" ref="C6:P6" si="0">C4/B5*B7</f>
        <v>55813.953488372099</v>
      </c>
      <c r="D6" s="66">
        <f t="shared" si="0"/>
        <v>238000</v>
      </c>
      <c r="E6" s="66">
        <f t="shared" si="0"/>
        <v>252039.69128996693</v>
      </c>
      <c r="F6" s="66">
        <f t="shared" si="0"/>
        <v>420131.2910284464</v>
      </c>
      <c r="G6" s="66">
        <f t="shared" si="0"/>
        <v>560128.27365045424</v>
      </c>
      <c r="H6" s="66">
        <f t="shared" si="0"/>
        <v>560000</v>
      </c>
      <c r="I6" s="66">
        <f>I4/H4*H7</f>
        <v>1107000</v>
      </c>
      <c r="J6" s="66">
        <f t="shared" si="0"/>
        <v>1260000</v>
      </c>
      <c r="K6" s="66">
        <f t="shared" si="0"/>
        <v>1544336.0203648706</v>
      </c>
      <c r="L6" s="66">
        <f t="shared" si="0"/>
        <v>1846826.4736921454</v>
      </c>
      <c r="M6" s="66">
        <f t="shared" si="0"/>
        <v>1900000</v>
      </c>
      <c r="N6" s="66">
        <f t="shared" si="0"/>
        <v>2343362.8318584072</v>
      </c>
      <c r="O6" s="66">
        <f t="shared" si="0"/>
        <v>2412897.7029533461</v>
      </c>
      <c r="P6" s="66">
        <f t="shared" si="0"/>
        <v>2777214.2941384595</v>
      </c>
      <c r="Q6" s="66">
        <f>Q4/P4*P7</f>
        <v>2490428.5714285714</v>
      </c>
      <c r="R6" s="66">
        <f>R4/Q4*Q7</f>
        <v>2282000</v>
      </c>
      <c r="S6" s="67">
        <f>S4/R5*R7</f>
        <v>2966754.9745428469</v>
      </c>
      <c r="T6" s="68"/>
    </row>
    <row r="7" spans="1:20" ht="29.4" thickBot="1" x14ac:dyDescent="0.35">
      <c r="A7" s="63" t="s">
        <v>483</v>
      </c>
      <c r="B7" s="69">
        <v>24000</v>
      </c>
      <c r="C7" s="69">
        <v>63000</v>
      </c>
      <c r="D7" s="69">
        <v>254000</v>
      </c>
      <c r="E7" s="69">
        <v>256000</v>
      </c>
      <c r="F7" s="69">
        <v>524000</v>
      </c>
      <c r="G7" s="69">
        <v>602000</v>
      </c>
      <c r="H7" s="69">
        <v>738000</v>
      </c>
      <c r="I7" s="69">
        <v>952000</v>
      </c>
      <c r="J7" s="69">
        <v>1120000</v>
      </c>
      <c r="K7" s="69">
        <v>1750000</v>
      </c>
      <c r="L7" s="69">
        <v>1900000</v>
      </c>
      <c r="M7" s="69">
        <v>2648000</v>
      </c>
      <c r="N7" s="69">
        <v>2114000</v>
      </c>
      <c r="O7" s="69">
        <v>3364000</v>
      </c>
      <c r="P7" s="69">
        <v>2682000</v>
      </c>
      <c r="Q7" s="69">
        <v>2282000</v>
      </c>
      <c r="R7" s="69">
        <v>2997927.4</v>
      </c>
      <c r="S7" s="70"/>
      <c r="T7" s="68"/>
    </row>
    <row r="8" spans="1:20" ht="29.4" thickBot="1" x14ac:dyDescent="0.35">
      <c r="A8" s="56" t="s">
        <v>540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>
        <v>3441000</v>
      </c>
      <c r="O8" s="69">
        <v>3450926</v>
      </c>
      <c r="P8" s="69">
        <v>2573862</v>
      </c>
      <c r="Q8" s="69">
        <v>2350880</v>
      </c>
      <c r="R8" s="69"/>
      <c r="S8" s="70"/>
    </row>
    <row r="9" spans="1:20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2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6E7B-795B-42BA-8886-8D8DACDD310F}">
  <dimension ref="A1:ND411"/>
  <sheetViews>
    <sheetView topLeftCell="AD1" zoomScale="78" zoomScaleNormal="78" workbookViewId="0">
      <pane ySplit="1" topLeftCell="A2" activePane="bottomLeft" state="frozen"/>
      <selection activeCell="AI1" sqref="AI1"/>
      <selection pane="bottomLeft" activeCell="CC31" sqref="CC31"/>
    </sheetView>
  </sheetViews>
  <sheetFormatPr defaultColWidth="11.44140625" defaultRowHeight="14.4" outlineLevelCol="2" x14ac:dyDescent="0.3"/>
  <cols>
    <col min="1" max="1" width="24" style="2" bestFit="1" customWidth="1"/>
    <col min="2" max="2" width="29.33203125" style="2" bestFit="1" customWidth="1"/>
    <col min="3" max="3" width="5.5546875" style="2" bestFit="1" customWidth="1"/>
    <col min="4" max="4" width="18" style="2" bestFit="1" customWidth="1"/>
    <col min="5" max="5" width="24" style="2" bestFit="1" customWidth="1"/>
    <col min="6" max="6" width="29.33203125" style="2" bestFit="1" customWidth="1"/>
    <col min="7" max="7" width="37.6640625" style="2" bestFit="1" customWidth="1"/>
    <col min="8" max="8" width="29.33203125" style="2" bestFit="1" customWidth="1"/>
    <col min="9" max="9" width="34.33203125" style="2" bestFit="1" customWidth="1"/>
    <col min="10" max="13" width="11.44140625" style="2"/>
    <col min="14" max="14" width="24" style="2" bestFit="1" customWidth="1"/>
    <col min="15" max="15" width="37.33203125" style="2" bestFit="1" customWidth="1"/>
    <col min="16" max="16" width="26" style="2" bestFit="1" customWidth="1"/>
    <col min="17" max="17" width="29.33203125" style="2" bestFit="1" customWidth="1"/>
    <col min="18" max="18" width="24" style="2" bestFit="1" customWidth="1"/>
    <col min="19" max="19" width="29.33203125" style="2" bestFit="1" customWidth="1"/>
    <col min="20" max="20" width="24" style="2" bestFit="1" customWidth="1"/>
    <col min="21" max="21" width="29.33203125" style="2" bestFit="1" customWidth="1"/>
    <col min="22" max="22" width="26" style="2" bestFit="1" customWidth="1"/>
    <col min="23" max="23" width="29.33203125" style="2" bestFit="1" customWidth="1"/>
    <col min="24" max="24" width="26" style="2" bestFit="1" customWidth="1"/>
    <col min="25" max="25" width="29.33203125" style="2" bestFit="1" customWidth="1"/>
    <col min="26" max="27" width="29.33203125" style="2" customWidth="1"/>
    <col min="28" max="28" width="39.5546875" style="2" bestFit="1" customWidth="1"/>
    <col min="29" max="29" width="26.5546875" style="2" customWidth="1"/>
    <col min="30" max="37" width="11.44140625" style="2"/>
    <col min="38" max="38" width="23.109375" style="20" bestFit="1" customWidth="1"/>
    <col min="39" max="39" width="11.5546875" style="2" hidden="1" customWidth="1" outlineLevel="2"/>
    <col min="40" max="43" width="11.44140625" style="2" hidden="1" customWidth="1" outlineLevel="2"/>
    <col min="44" max="44" width="11.44140625" style="2" hidden="1" customWidth="1" outlineLevel="1" collapsed="1"/>
    <col min="45" max="49" width="11.44140625" style="2" hidden="1" customWidth="1" outlineLevel="2"/>
    <col min="50" max="50" width="11.44140625" style="2" hidden="1" customWidth="1" outlineLevel="1" collapsed="1"/>
    <col min="51" max="55" width="11.44140625" style="2" hidden="1" customWidth="1" outlineLevel="2"/>
    <col min="56" max="56" width="11.44140625" style="2" hidden="1" customWidth="1" outlineLevel="1" collapsed="1"/>
    <col min="57" max="61" width="11.44140625" style="2" hidden="1" customWidth="1" outlineLevel="2"/>
    <col min="62" max="62" width="11.44140625" style="2" hidden="1" customWidth="1" outlineLevel="1" collapsed="1"/>
    <col min="63" max="63" width="11.44140625" style="2" collapsed="1"/>
    <col min="64" max="64" width="11.5546875" style="2" hidden="1" customWidth="1" outlineLevel="2"/>
    <col min="65" max="68" width="11.44140625" style="2" hidden="1" customWidth="1" outlineLevel="2"/>
    <col min="69" max="69" width="11.44140625" style="2" customWidth="1" outlineLevel="1" collapsed="1"/>
    <col min="70" max="74" width="11.44140625" style="2" hidden="1" customWidth="1" outlineLevel="2"/>
    <col min="75" max="75" width="11.44140625" style="2" customWidth="1" outlineLevel="1" collapsed="1"/>
    <col min="76" max="80" width="11.44140625" style="2" customWidth="1" outlineLevel="2"/>
    <col min="81" max="81" width="11.44140625" style="2" customWidth="1" outlineLevel="1"/>
    <col min="82" max="86" width="11.44140625" style="2" hidden="1" customWidth="1" outlineLevel="2"/>
    <col min="87" max="87" width="11.44140625" style="2" customWidth="1" outlineLevel="1" collapsed="1"/>
    <col min="88" max="88" width="11.44140625" style="2"/>
    <col min="89" max="89" width="11.5546875" style="2" hidden="1" customWidth="1" outlineLevel="2"/>
    <col min="90" max="93" width="11.44140625" style="2" hidden="1" customWidth="1" outlineLevel="2"/>
    <col min="94" max="94" width="11.44140625" style="2" hidden="1" customWidth="1" outlineLevel="1"/>
    <col min="95" max="99" width="11.44140625" style="2" hidden="1" customWidth="1" outlineLevel="2"/>
    <col min="100" max="100" width="11.44140625" style="2" hidden="1" customWidth="1" outlineLevel="1" collapsed="1"/>
    <col min="101" max="105" width="11.44140625" style="2" hidden="1" customWidth="1" outlineLevel="2"/>
    <col min="106" max="106" width="11.44140625" style="2" hidden="1" customWidth="1" outlineLevel="1" collapsed="1"/>
    <col min="107" max="111" width="11.44140625" style="2" hidden="1" customWidth="1" outlineLevel="2"/>
    <col min="112" max="112" width="11.44140625" style="2" hidden="1" customWidth="1" outlineLevel="1" collapsed="1"/>
    <col min="113" max="113" width="11.5546875" style="2" hidden="1" customWidth="1" outlineLevel="2"/>
    <col min="114" max="114" width="11.44140625" style="2" hidden="1" customWidth="1" outlineLevel="2"/>
    <col min="115" max="115" width="11.44140625" style="2" hidden="1" customWidth="1" outlineLevel="1" collapsed="1"/>
    <col min="116" max="116" width="11.44140625" style="2" collapsed="1"/>
    <col min="117" max="119" width="11.44140625" style="2" hidden="1" customWidth="1" outlineLevel="2"/>
    <col min="120" max="120" width="11.44140625" style="2" hidden="1" customWidth="1" outlineLevel="1" collapsed="1"/>
    <col min="121" max="125" width="11.44140625" style="2" hidden="1" customWidth="1" outlineLevel="2"/>
    <col min="126" max="126" width="11.44140625" style="2" hidden="1" customWidth="1" outlineLevel="1" collapsed="1"/>
    <col min="127" max="131" width="11.44140625" style="2" hidden="1" customWidth="1" outlineLevel="2"/>
    <col min="132" max="132" width="11.44140625" style="2" hidden="1" customWidth="1" outlineLevel="1" collapsed="1"/>
    <col min="133" max="137" width="11.44140625" style="2" hidden="1" customWidth="1" outlineLevel="2"/>
    <col min="138" max="138" width="11.44140625" style="2" hidden="1" customWidth="1" outlineLevel="1" collapsed="1"/>
    <col min="139" max="142" width="11.44140625" style="2" hidden="1" customWidth="1" outlineLevel="2"/>
    <col min="143" max="143" width="11.44140625" style="2" hidden="1" customWidth="1" outlineLevel="1" collapsed="1"/>
    <col min="144" max="144" width="11.44140625" style="2" collapsed="1"/>
    <col min="145" max="145" width="11.44140625" style="2" hidden="1" customWidth="1" outlineLevel="2"/>
    <col min="146" max="146" width="11.44140625" style="2" hidden="1" customWidth="1" outlineLevel="1" collapsed="1"/>
    <col min="147" max="151" width="11.44140625" style="2" hidden="1" customWidth="1" outlineLevel="2"/>
    <col min="152" max="152" width="11.44140625" style="2" hidden="1" customWidth="1" outlineLevel="1" collapsed="1"/>
    <col min="153" max="157" width="11.44140625" style="2" hidden="1" customWidth="1" outlineLevel="2"/>
    <col min="158" max="158" width="11.44140625" style="2" hidden="1" customWidth="1" outlineLevel="1" collapsed="1"/>
    <col min="159" max="163" width="11.44140625" style="2" hidden="1" customWidth="1" outlineLevel="2"/>
    <col min="164" max="164" width="11.44140625" style="2" hidden="1" customWidth="1" outlineLevel="1" collapsed="1"/>
    <col min="165" max="169" width="11.44140625" style="2" hidden="1" customWidth="1" outlineLevel="2"/>
    <col min="170" max="170" width="11.44140625" style="2" hidden="1" customWidth="1" outlineLevel="1" collapsed="1"/>
    <col min="171" max="171" width="11.44140625" style="2" collapsed="1"/>
    <col min="172" max="172" width="11.5546875" style="2" hidden="1" customWidth="1" outlineLevel="2"/>
    <col min="173" max="176" width="11.44140625" style="2" hidden="1" customWidth="1" outlineLevel="2"/>
    <col min="177" max="177" width="11.44140625" style="2" hidden="1" customWidth="1" outlineLevel="1" collapsed="1"/>
    <col min="178" max="182" width="11.44140625" style="2" hidden="1" customWidth="1" outlineLevel="2"/>
    <col min="183" max="183" width="11.44140625" style="2" hidden="1" customWidth="1" outlineLevel="1" collapsed="1"/>
    <col min="184" max="188" width="11.44140625" style="2" hidden="1" customWidth="1" outlineLevel="2"/>
    <col min="189" max="189" width="11.44140625" style="2" hidden="1" customWidth="1" outlineLevel="1" collapsed="1"/>
    <col min="190" max="194" width="11.44140625" style="2" hidden="1" customWidth="1" outlineLevel="2"/>
    <col min="195" max="195" width="11.44140625" style="2" hidden="1" customWidth="1" outlineLevel="1" collapsed="1"/>
    <col min="196" max="196" width="11.5546875" style="2" hidden="1" customWidth="1" outlineLevel="2"/>
    <col min="197" max="197" width="11.44140625" style="2" hidden="1" customWidth="1" outlineLevel="2"/>
    <col min="198" max="198" width="11.44140625" style="2" hidden="1" customWidth="1" outlineLevel="1" collapsed="1"/>
    <col min="199" max="199" width="11.44140625" style="2" collapsed="1"/>
    <col min="200" max="200" width="11.5546875" style="2" hidden="1" customWidth="1" outlineLevel="2"/>
    <col min="201" max="202" width="11.44140625" style="2" hidden="1" customWidth="1" outlineLevel="2"/>
    <col min="203" max="203" width="11.44140625" style="2" hidden="1" customWidth="1" outlineLevel="1" collapsed="1"/>
    <col min="204" max="204" width="11.5546875" style="2" hidden="1" customWidth="1" outlineLevel="2"/>
    <col min="205" max="208" width="0" style="2" hidden="1" customWidth="1" outlineLevel="2"/>
    <col min="209" max="209" width="11.44140625" style="2" hidden="1" customWidth="1" outlineLevel="1" collapsed="1"/>
    <col min="210" max="214" width="0" style="2" hidden="1" customWidth="1" outlineLevel="2"/>
    <col min="215" max="215" width="11.44140625" style="2" hidden="1" customWidth="1" outlineLevel="1" collapsed="1"/>
    <col min="216" max="220" width="0" style="2" hidden="1" customWidth="1" outlineLevel="2"/>
    <col min="221" max="221" width="11.44140625" style="2" hidden="1" customWidth="1" outlineLevel="1" collapsed="1"/>
    <col min="222" max="226" width="11.44140625" style="2" hidden="1" customWidth="1" outlineLevel="2"/>
    <col min="227" max="227" width="11.44140625" style="2" hidden="1" customWidth="1" outlineLevel="1" collapsed="1"/>
    <col min="228" max="228" width="11.44140625" style="2" collapsed="1"/>
    <col min="229" max="229" width="11.5546875" style="2" hidden="1" customWidth="1" outlineLevel="2"/>
    <col min="230" max="233" width="11.44140625" style="2" hidden="1" customWidth="1" outlineLevel="2"/>
    <col min="234" max="234" width="11.44140625" style="2" hidden="1" customWidth="1" outlineLevel="1" collapsed="1"/>
    <col min="235" max="239" width="0" style="2" hidden="1" customWidth="1" outlineLevel="2"/>
    <col min="240" max="240" width="11.44140625" style="2" hidden="1" customWidth="1" outlineLevel="1" collapsed="1"/>
    <col min="241" max="245" width="0" style="2" hidden="1" customWidth="1" outlineLevel="2"/>
    <col min="246" max="246" width="11.44140625" style="2" hidden="1" customWidth="1" outlineLevel="1" collapsed="1"/>
    <col min="247" max="251" width="0" style="2" hidden="1" customWidth="1" outlineLevel="2"/>
    <col min="252" max="252" width="11.44140625" style="2" hidden="1" customWidth="1" outlineLevel="1" collapsed="1"/>
    <col min="253" max="253" width="11.5546875" style="2" hidden="1" customWidth="1" outlineLevel="2"/>
    <col min="254" max="254" width="11.44140625" style="2" hidden="1" customWidth="1" outlineLevel="1" collapsed="1"/>
    <col min="255" max="255" width="11.44140625" style="2" collapsed="1"/>
    <col min="256" max="256" width="11.5546875" style="2" hidden="1" customWidth="1" outlineLevel="2"/>
    <col min="257" max="259" width="11.44140625" style="2" hidden="1" customWidth="1" outlineLevel="2"/>
    <col min="260" max="260" width="11.44140625" style="2" hidden="1" customWidth="1" outlineLevel="1" collapsed="1"/>
    <col min="261" max="265" width="11.44140625" style="2" hidden="1" customWidth="1" outlineLevel="2"/>
    <col min="266" max="266" width="11.44140625" style="2" hidden="1" customWidth="1" outlineLevel="1" collapsed="1"/>
    <col min="267" max="271" width="0" style="2" hidden="1" customWidth="1" outlineLevel="2"/>
    <col min="272" max="272" width="11.44140625" style="2" hidden="1" customWidth="1" outlineLevel="1" collapsed="1"/>
    <col min="273" max="277" width="0" style="2" hidden="1" customWidth="1" outlineLevel="2"/>
    <col min="278" max="278" width="11.44140625" style="2" hidden="1" customWidth="1" outlineLevel="1" collapsed="1"/>
    <col min="279" max="279" width="11.5546875" style="2" hidden="1" customWidth="1" outlineLevel="2"/>
    <col min="280" max="281" width="11.44140625" style="2" hidden="1" customWidth="1" outlineLevel="2"/>
    <col min="282" max="282" width="11.44140625" style="2" hidden="1" customWidth="1" outlineLevel="1" collapsed="1"/>
    <col min="283" max="283" width="11.44140625" style="2" collapsed="1"/>
    <col min="284" max="284" width="11.5546875" style="2" hidden="1" customWidth="1" outlineLevel="2"/>
    <col min="285" max="285" width="11.44140625" style="2" hidden="1" customWidth="1" outlineLevel="2"/>
    <col min="286" max="286" width="11.44140625" style="2" hidden="1" customWidth="1" outlineLevel="1" collapsed="1"/>
    <col min="287" max="287" width="11.5546875" style="2" hidden="1" customWidth="1" outlineLevel="2"/>
    <col min="288" max="291" width="11.44140625" style="2" hidden="1" customWidth="1" outlineLevel="2"/>
    <col min="292" max="292" width="11.44140625" style="2" hidden="1" customWidth="1" outlineLevel="1" collapsed="1"/>
    <col min="293" max="297" width="11.44140625" style="2" hidden="1" customWidth="1" outlineLevel="2"/>
    <col min="298" max="298" width="11.44140625" style="2" hidden="1" customWidth="1" outlineLevel="1" collapsed="1"/>
    <col min="299" max="303" width="11.44140625" style="2" hidden="1" customWidth="1" outlineLevel="2"/>
    <col min="304" max="304" width="11.44140625" style="2" hidden="1" customWidth="1" outlineLevel="1" collapsed="1"/>
    <col min="305" max="309" width="11.44140625" style="2" hidden="1" customWidth="1" outlineLevel="2"/>
    <col min="310" max="310" width="11.44140625" style="2" hidden="1" customWidth="1" outlineLevel="1" collapsed="1"/>
    <col min="311" max="311" width="11.44140625" style="2" collapsed="1"/>
    <col min="312" max="312" width="11.5546875" style="2" hidden="1" customWidth="1" outlineLevel="2"/>
    <col min="313" max="316" width="0" style="2" hidden="1" customWidth="1" outlineLevel="2"/>
    <col min="317" max="317" width="11.44140625" style="2" hidden="1" customWidth="1" outlineLevel="1" collapsed="1"/>
    <col min="318" max="322" width="0" style="2" hidden="1" customWidth="1" outlineLevel="2"/>
    <col min="323" max="323" width="11.44140625" style="2" hidden="1" customWidth="1" outlineLevel="1" collapsed="1"/>
    <col min="324" max="328" width="0" style="2" hidden="1" customWidth="1" outlineLevel="2"/>
    <col min="329" max="329" width="11.44140625" style="2" hidden="1" customWidth="1" outlineLevel="1" collapsed="1"/>
    <col min="330" max="334" width="11.44140625" style="2" hidden="1" customWidth="1" outlineLevel="2"/>
    <col min="335" max="335" width="11.44140625" style="2" hidden="1" customWidth="1" outlineLevel="1"/>
    <col min="336" max="336" width="11.5546875" style="2" hidden="1" customWidth="1" outlineLevel="2"/>
    <col min="337" max="337" width="11.44140625" style="2" hidden="1" customWidth="1" outlineLevel="1" collapsed="1"/>
    <col min="338" max="338" width="11.44140625" style="2" collapsed="1"/>
    <col min="339" max="339" width="11.5546875" style="2" hidden="1" customWidth="1" outlineLevel="2"/>
    <col min="340" max="342" width="11.44140625" style="2" hidden="1" customWidth="1" outlineLevel="2"/>
    <col min="343" max="343" width="11.44140625" style="2" hidden="1" customWidth="1" outlineLevel="1" collapsed="1"/>
    <col min="344" max="348" width="11.44140625" style="2" hidden="1" customWidth="1" outlineLevel="2"/>
    <col min="349" max="349" width="11.44140625" style="2" hidden="1" customWidth="1" outlineLevel="1"/>
    <col min="350" max="354" width="11.44140625" style="2" hidden="1" customWidth="1" outlineLevel="2"/>
    <col min="355" max="355" width="11.44140625" style="2" hidden="1" customWidth="1" outlineLevel="1"/>
    <col min="356" max="360" width="11.44140625" style="2" hidden="1" customWidth="1" outlineLevel="2"/>
    <col min="361" max="361" width="11.44140625" style="2" hidden="1" customWidth="1" outlineLevel="1"/>
    <col min="362" max="364" width="11.5546875" style="2" hidden="1" customWidth="1" outlineLevel="2"/>
    <col min="365" max="365" width="11.44140625" style="2" hidden="1" customWidth="1" outlineLevel="2"/>
    <col min="366" max="366" width="11.44140625" style="2" hidden="1" customWidth="1" outlineLevel="1"/>
    <col min="367" max="367" width="11.44140625" style="2" collapsed="1"/>
    <col min="368" max="16384" width="11.44140625" style="2"/>
  </cols>
  <sheetData>
    <row r="1" spans="1:368" x14ac:dyDescent="0.3">
      <c r="A1"/>
      <c r="B1"/>
      <c r="N1"/>
      <c r="O1"/>
      <c r="V1"/>
      <c r="W1"/>
      <c r="AL1" s="48" t="s">
        <v>0</v>
      </c>
      <c r="AM1" s="10">
        <v>45662</v>
      </c>
      <c r="AN1" s="10">
        <f>AM1+1</f>
        <v>45663</v>
      </c>
      <c r="AO1" s="10">
        <f>AN1+1</f>
        <v>45664</v>
      </c>
      <c r="AP1" s="10">
        <f>AO1+1</f>
        <v>45665</v>
      </c>
      <c r="AQ1" s="10">
        <f>AP1+1</f>
        <v>45666</v>
      </c>
      <c r="AR1" s="10" t="s">
        <v>375</v>
      </c>
      <c r="AS1" s="10">
        <f>AQ1+3</f>
        <v>45669</v>
      </c>
      <c r="AT1" s="10">
        <f>AS1+1</f>
        <v>45670</v>
      </c>
      <c r="AU1" s="10">
        <f>AT1+1</f>
        <v>45671</v>
      </c>
      <c r="AV1" s="10">
        <f>AU1+1</f>
        <v>45672</v>
      </c>
      <c r="AW1" s="10">
        <f>AV1+1</f>
        <v>45673</v>
      </c>
      <c r="AX1" s="10" t="s">
        <v>376</v>
      </c>
      <c r="AY1" s="10">
        <f>AW1+3</f>
        <v>45676</v>
      </c>
      <c r="AZ1" s="10">
        <f>AY1+1</f>
        <v>45677</v>
      </c>
      <c r="BA1" s="10">
        <f>AZ1+1</f>
        <v>45678</v>
      </c>
      <c r="BB1" s="10">
        <f>BA1+1</f>
        <v>45679</v>
      </c>
      <c r="BC1" s="10">
        <f>BB1+1</f>
        <v>45680</v>
      </c>
      <c r="BD1" s="10" t="s">
        <v>377</v>
      </c>
      <c r="BE1" s="10">
        <f>BC1+3</f>
        <v>45683</v>
      </c>
      <c r="BF1" s="10">
        <f>BE1+1</f>
        <v>45684</v>
      </c>
      <c r="BG1" s="10">
        <f>BF1+1</f>
        <v>45685</v>
      </c>
      <c r="BH1" s="10">
        <f>BG1+1</f>
        <v>45686</v>
      </c>
      <c r="BI1" s="10">
        <f>BH1+1</f>
        <v>45687</v>
      </c>
      <c r="BJ1" s="10" t="s">
        <v>378</v>
      </c>
      <c r="BK1" s="37" t="s">
        <v>24</v>
      </c>
      <c r="BL1" s="10">
        <f>BI1+3</f>
        <v>45690</v>
      </c>
      <c r="BM1" s="10">
        <f>BL1+1</f>
        <v>45691</v>
      </c>
      <c r="BN1" s="10">
        <f>BM1+1</f>
        <v>45692</v>
      </c>
      <c r="BO1" s="10">
        <f>BN1+1</f>
        <v>45693</v>
      </c>
      <c r="BP1" s="10">
        <f>BO1+1</f>
        <v>45694</v>
      </c>
      <c r="BQ1" s="10" t="s">
        <v>379</v>
      </c>
      <c r="BR1" s="10">
        <f>BP1+3</f>
        <v>45697</v>
      </c>
      <c r="BS1" s="10">
        <f>BR1+1</f>
        <v>45698</v>
      </c>
      <c r="BT1" s="10">
        <f>BS1+1</f>
        <v>45699</v>
      </c>
      <c r="BU1" s="10">
        <f>BT1+1</f>
        <v>45700</v>
      </c>
      <c r="BV1" s="10">
        <f>BU1+1</f>
        <v>45701</v>
      </c>
      <c r="BW1" s="10" t="s">
        <v>380</v>
      </c>
      <c r="BX1" s="10">
        <f>BV1+3</f>
        <v>45704</v>
      </c>
      <c r="BY1" s="10">
        <f>BX1+1</f>
        <v>45705</v>
      </c>
      <c r="BZ1" s="10">
        <f>BY1+1</f>
        <v>45706</v>
      </c>
      <c r="CA1" s="10">
        <f>BZ1+1</f>
        <v>45707</v>
      </c>
      <c r="CB1" s="10">
        <f>CA1+1</f>
        <v>45708</v>
      </c>
      <c r="CC1" s="10" t="s">
        <v>381</v>
      </c>
      <c r="CD1" s="10">
        <f>CB1+3</f>
        <v>45711</v>
      </c>
      <c r="CE1" s="10">
        <f>CD1+1</f>
        <v>45712</v>
      </c>
      <c r="CF1" s="10">
        <f>CE1+1</f>
        <v>45713</v>
      </c>
      <c r="CG1" s="10">
        <f>CF1+1</f>
        <v>45714</v>
      </c>
      <c r="CH1" s="10">
        <f>CG1+1</f>
        <v>45715</v>
      </c>
      <c r="CI1" s="10" t="s">
        <v>383</v>
      </c>
      <c r="CJ1" s="38" t="s">
        <v>382</v>
      </c>
      <c r="CK1" s="10">
        <f>CH1+3</f>
        <v>45718</v>
      </c>
      <c r="CL1" s="10">
        <f>CK1+1</f>
        <v>45719</v>
      </c>
      <c r="CM1" s="10">
        <f>CL1+1</f>
        <v>45720</v>
      </c>
      <c r="CN1" s="10">
        <f>CM1+1</f>
        <v>45721</v>
      </c>
      <c r="CO1" s="10">
        <f>CN1+1</f>
        <v>45722</v>
      </c>
      <c r="CP1" s="10" t="s">
        <v>384</v>
      </c>
      <c r="CQ1" s="10">
        <f>CO1+3</f>
        <v>45725</v>
      </c>
      <c r="CR1" s="10">
        <f>CQ1+1</f>
        <v>45726</v>
      </c>
      <c r="CS1" s="10">
        <f>CR1+1</f>
        <v>45727</v>
      </c>
      <c r="CT1" s="10">
        <f>CS1+1</f>
        <v>45728</v>
      </c>
      <c r="CU1" s="10">
        <f>CT1+1</f>
        <v>45729</v>
      </c>
      <c r="CV1" s="10" t="s">
        <v>385</v>
      </c>
      <c r="CW1" s="10">
        <f>CU1+3</f>
        <v>45732</v>
      </c>
      <c r="CX1" s="10">
        <f>CW1+1</f>
        <v>45733</v>
      </c>
      <c r="CY1" s="10">
        <f>CX1+1</f>
        <v>45734</v>
      </c>
      <c r="CZ1" s="10">
        <f>CY1+1</f>
        <v>45735</v>
      </c>
      <c r="DA1" s="10">
        <f>CZ1+1</f>
        <v>45736</v>
      </c>
      <c r="DB1" s="10" t="s">
        <v>386</v>
      </c>
      <c r="DC1" s="10">
        <f>DA1+3</f>
        <v>45739</v>
      </c>
      <c r="DD1" s="10">
        <f>DC1+1</f>
        <v>45740</v>
      </c>
      <c r="DE1" s="10">
        <f>DD1+1</f>
        <v>45741</v>
      </c>
      <c r="DF1" s="10">
        <f>DE1+1</f>
        <v>45742</v>
      </c>
      <c r="DG1" s="10">
        <f>DF1+1</f>
        <v>45743</v>
      </c>
      <c r="DH1" s="10" t="s">
        <v>387</v>
      </c>
      <c r="DI1" s="10">
        <f>DG1+3</f>
        <v>45746</v>
      </c>
      <c r="DJ1" s="10">
        <f>DI1+1</f>
        <v>45747</v>
      </c>
      <c r="DK1" s="10" t="s">
        <v>388</v>
      </c>
      <c r="DL1" s="39" t="s">
        <v>30</v>
      </c>
      <c r="DM1" s="10">
        <f>DJ1+1</f>
        <v>45748</v>
      </c>
      <c r="DN1" s="10">
        <f>DM1+1</f>
        <v>45749</v>
      </c>
      <c r="DO1" s="10">
        <f>DN1+1</f>
        <v>45750</v>
      </c>
      <c r="DP1" s="10" t="s">
        <v>388</v>
      </c>
      <c r="DQ1" s="10">
        <f>DO1+3</f>
        <v>45753</v>
      </c>
      <c r="DR1" s="10">
        <f>DQ1+1</f>
        <v>45754</v>
      </c>
      <c r="DS1" s="10">
        <f>DR1+1</f>
        <v>45755</v>
      </c>
      <c r="DT1" s="10">
        <f>DS1+1</f>
        <v>45756</v>
      </c>
      <c r="DU1" s="10">
        <f>DT1+1</f>
        <v>45757</v>
      </c>
      <c r="DV1" s="10" t="s">
        <v>389</v>
      </c>
      <c r="DW1" s="10">
        <f>DU1+3</f>
        <v>45760</v>
      </c>
      <c r="DX1" s="10">
        <f>DW1+1</f>
        <v>45761</v>
      </c>
      <c r="DY1" s="10">
        <f>DX1+1</f>
        <v>45762</v>
      </c>
      <c r="DZ1" s="10">
        <f>DY1+1</f>
        <v>45763</v>
      </c>
      <c r="EA1" s="10">
        <f>DZ1+1</f>
        <v>45764</v>
      </c>
      <c r="EB1" s="10" t="s">
        <v>390</v>
      </c>
      <c r="EC1" s="10">
        <f>EA1+3</f>
        <v>45767</v>
      </c>
      <c r="ED1" s="10">
        <f>EC1+1</f>
        <v>45768</v>
      </c>
      <c r="EE1" s="10">
        <f>ED1+1</f>
        <v>45769</v>
      </c>
      <c r="EF1" s="10">
        <f>EE1+1</f>
        <v>45770</v>
      </c>
      <c r="EG1" s="10">
        <f>EF1+1</f>
        <v>45771</v>
      </c>
      <c r="EH1" s="10" t="s">
        <v>392</v>
      </c>
      <c r="EI1" s="10">
        <f>EG1+3</f>
        <v>45774</v>
      </c>
      <c r="EJ1" s="10">
        <f>EI1+1</f>
        <v>45775</v>
      </c>
      <c r="EK1" s="10">
        <f>EJ1+1</f>
        <v>45776</v>
      </c>
      <c r="EL1" s="10">
        <f>EK1+1</f>
        <v>45777</v>
      </c>
      <c r="EM1" s="10" t="s">
        <v>393</v>
      </c>
      <c r="EN1" s="40" t="s">
        <v>391</v>
      </c>
      <c r="EO1" s="10">
        <f>EL1+1</f>
        <v>45778</v>
      </c>
      <c r="EP1" s="10" t="s">
        <v>393</v>
      </c>
      <c r="EQ1" s="10">
        <f>EO1+3</f>
        <v>45781</v>
      </c>
      <c r="ER1" s="10">
        <f>EQ1+1</f>
        <v>45782</v>
      </c>
      <c r="ES1" s="10">
        <f>ER1+1</f>
        <v>45783</v>
      </c>
      <c r="ET1" s="10">
        <f>ES1+1</f>
        <v>45784</v>
      </c>
      <c r="EU1" s="10">
        <f>ET1+1</f>
        <v>45785</v>
      </c>
      <c r="EV1" s="10" t="s">
        <v>394</v>
      </c>
      <c r="EW1" s="10">
        <f>EU1+3</f>
        <v>45788</v>
      </c>
      <c r="EX1" s="10">
        <f>EW1+1</f>
        <v>45789</v>
      </c>
      <c r="EY1" s="10">
        <f>EX1+1</f>
        <v>45790</v>
      </c>
      <c r="EZ1" s="10">
        <f>EY1+1</f>
        <v>45791</v>
      </c>
      <c r="FA1" s="10">
        <f>EZ1+1</f>
        <v>45792</v>
      </c>
      <c r="FB1" s="10" t="s">
        <v>395</v>
      </c>
      <c r="FC1" s="10">
        <f>FA1+3</f>
        <v>45795</v>
      </c>
      <c r="FD1" s="10">
        <f>FC1+1</f>
        <v>45796</v>
      </c>
      <c r="FE1" s="10">
        <f>FD1+1</f>
        <v>45797</v>
      </c>
      <c r="FF1" s="10">
        <f>FE1+1</f>
        <v>45798</v>
      </c>
      <c r="FG1" s="10">
        <f>FF1+1</f>
        <v>45799</v>
      </c>
      <c r="FH1" s="10" t="s">
        <v>396</v>
      </c>
      <c r="FI1" s="10">
        <f>FG1+3</f>
        <v>45802</v>
      </c>
      <c r="FJ1" s="10">
        <f>FI1+1</f>
        <v>45803</v>
      </c>
      <c r="FK1" s="10">
        <f>FJ1+1</f>
        <v>45804</v>
      </c>
      <c r="FL1" s="10">
        <f>FK1+1</f>
        <v>45805</v>
      </c>
      <c r="FM1" s="10">
        <f>FL1+1</f>
        <v>45806</v>
      </c>
      <c r="FN1" s="10" t="s">
        <v>397</v>
      </c>
      <c r="FO1" s="41" t="s">
        <v>33</v>
      </c>
      <c r="FP1" s="10">
        <f>FM1+3</f>
        <v>45809</v>
      </c>
      <c r="FQ1" s="10">
        <f>FP1+1</f>
        <v>45810</v>
      </c>
      <c r="FR1" s="10">
        <f>FQ1+1</f>
        <v>45811</v>
      </c>
      <c r="FS1" s="10">
        <f>FR1+1</f>
        <v>45812</v>
      </c>
      <c r="FT1" s="10">
        <f>FS1+1</f>
        <v>45813</v>
      </c>
      <c r="FU1" s="10" t="s">
        <v>398</v>
      </c>
      <c r="FV1" s="10">
        <f>FT1+3</f>
        <v>45816</v>
      </c>
      <c r="FW1" s="10">
        <f>FV1+1</f>
        <v>45817</v>
      </c>
      <c r="FX1" s="10">
        <f>FW1+1</f>
        <v>45818</v>
      </c>
      <c r="FY1" s="10">
        <f>FX1+1</f>
        <v>45819</v>
      </c>
      <c r="FZ1" s="10">
        <f>FY1+1</f>
        <v>45820</v>
      </c>
      <c r="GA1" s="10" t="s">
        <v>399</v>
      </c>
      <c r="GB1" s="10">
        <f>FZ1+3</f>
        <v>45823</v>
      </c>
      <c r="GC1" s="10">
        <f>GB1+1</f>
        <v>45824</v>
      </c>
      <c r="GD1" s="10">
        <f>GC1+1</f>
        <v>45825</v>
      </c>
      <c r="GE1" s="10">
        <f>GD1+1</f>
        <v>45826</v>
      </c>
      <c r="GF1" s="10">
        <f>GE1+1</f>
        <v>45827</v>
      </c>
      <c r="GG1" s="10" t="s">
        <v>400</v>
      </c>
      <c r="GH1" s="10">
        <f>GF1+3</f>
        <v>45830</v>
      </c>
      <c r="GI1" s="10">
        <f>GH1+1</f>
        <v>45831</v>
      </c>
      <c r="GJ1" s="10">
        <f>GI1+1</f>
        <v>45832</v>
      </c>
      <c r="GK1" s="10">
        <f>GJ1+1</f>
        <v>45833</v>
      </c>
      <c r="GL1" s="10">
        <f>GK1+1</f>
        <v>45834</v>
      </c>
      <c r="GM1" s="10" t="s">
        <v>401</v>
      </c>
      <c r="GN1" s="10">
        <f>GL1+3</f>
        <v>45837</v>
      </c>
      <c r="GO1" s="10">
        <f>GN1+1</f>
        <v>45838</v>
      </c>
      <c r="GP1" s="10" t="s">
        <v>402</v>
      </c>
      <c r="GQ1" s="42" t="s">
        <v>37</v>
      </c>
      <c r="GR1" s="10">
        <f>GO1+1</f>
        <v>45839</v>
      </c>
      <c r="GS1" s="10">
        <f>GR1+1</f>
        <v>45840</v>
      </c>
      <c r="GT1" s="10">
        <f>GS1+1</f>
        <v>45841</v>
      </c>
      <c r="GU1" s="10" t="s">
        <v>402</v>
      </c>
      <c r="GV1" s="10">
        <f>GT1+3</f>
        <v>45844</v>
      </c>
      <c r="GW1" s="10">
        <f>GV1+1</f>
        <v>45845</v>
      </c>
      <c r="GX1" s="10">
        <f>GW1+1</f>
        <v>45846</v>
      </c>
      <c r="GY1" s="10">
        <f>GX1+1</f>
        <v>45847</v>
      </c>
      <c r="GZ1" s="10">
        <f>GY1+1</f>
        <v>45848</v>
      </c>
      <c r="HA1" s="10" t="s">
        <v>403</v>
      </c>
      <c r="HB1" s="10">
        <f>GZ1+3</f>
        <v>45851</v>
      </c>
      <c r="HC1" s="10">
        <f>HB1+1</f>
        <v>45852</v>
      </c>
      <c r="HD1" s="10">
        <f>HC1+1</f>
        <v>45853</v>
      </c>
      <c r="HE1" s="10">
        <f>HD1+1</f>
        <v>45854</v>
      </c>
      <c r="HF1" s="10">
        <f>HE1+1</f>
        <v>45855</v>
      </c>
      <c r="HG1" s="10" t="s">
        <v>404</v>
      </c>
      <c r="HH1" s="10">
        <f>HF1+3</f>
        <v>45858</v>
      </c>
      <c r="HI1" s="10">
        <f>HH1+1</f>
        <v>45859</v>
      </c>
      <c r="HJ1" s="10">
        <f>HI1+1</f>
        <v>45860</v>
      </c>
      <c r="HK1" s="10">
        <f>HJ1+1</f>
        <v>45861</v>
      </c>
      <c r="HL1" s="10">
        <f>HK1+1</f>
        <v>45862</v>
      </c>
      <c r="HM1" s="10" t="s">
        <v>405</v>
      </c>
      <c r="HN1" s="10">
        <f>HL1+3</f>
        <v>45865</v>
      </c>
      <c r="HO1" s="10">
        <f>HN1+1</f>
        <v>45866</v>
      </c>
      <c r="HP1" s="10">
        <f>HO1+1</f>
        <v>45867</v>
      </c>
      <c r="HQ1" s="10">
        <f>HP1+1</f>
        <v>45868</v>
      </c>
      <c r="HR1" s="10">
        <f>HQ1+1</f>
        <v>45869</v>
      </c>
      <c r="HS1" s="10" t="s">
        <v>406</v>
      </c>
      <c r="HT1" s="43" t="s">
        <v>40</v>
      </c>
      <c r="HU1" s="10">
        <f>HR1+3</f>
        <v>45872</v>
      </c>
      <c r="HV1" s="10">
        <f>HU1+1</f>
        <v>45873</v>
      </c>
      <c r="HW1" s="10">
        <f>HV1+1</f>
        <v>45874</v>
      </c>
      <c r="HX1" s="10">
        <f>HW1+1</f>
        <v>45875</v>
      </c>
      <c r="HY1" s="10">
        <f>HX1+1</f>
        <v>45876</v>
      </c>
      <c r="HZ1" s="10" t="s">
        <v>407</v>
      </c>
      <c r="IA1" s="10">
        <f>HY1+3</f>
        <v>45879</v>
      </c>
      <c r="IB1" s="10">
        <f>IA1+1</f>
        <v>45880</v>
      </c>
      <c r="IC1" s="10">
        <f>IB1+1</f>
        <v>45881</v>
      </c>
      <c r="ID1" s="10">
        <f>IC1+1</f>
        <v>45882</v>
      </c>
      <c r="IE1" s="10">
        <f>ID1+1</f>
        <v>45883</v>
      </c>
      <c r="IF1" s="10" t="s">
        <v>408</v>
      </c>
      <c r="IG1" s="10">
        <f>IE1+3</f>
        <v>45886</v>
      </c>
      <c r="IH1" s="10">
        <f>IG1+1</f>
        <v>45887</v>
      </c>
      <c r="II1" s="10">
        <f>IH1+1</f>
        <v>45888</v>
      </c>
      <c r="IJ1" s="10">
        <f>II1+1</f>
        <v>45889</v>
      </c>
      <c r="IK1" s="10">
        <f>IJ1+1</f>
        <v>45890</v>
      </c>
      <c r="IL1" s="10" t="s">
        <v>409</v>
      </c>
      <c r="IM1" s="10">
        <f>IK1+3</f>
        <v>45893</v>
      </c>
      <c r="IN1" s="10">
        <f>IM1+1</f>
        <v>45894</v>
      </c>
      <c r="IO1" s="10">
        <f>IN1+1</f>
        <v>45895</v>
      </c>
      <c r="IP1" s="10">
        <f>IO1+1</f>
        <v>45896</v>
      </c>
      <c r="IQ1" s="10">
        <f>IP1+1</f>
        <v>45897</v>
      </c>
      <c r="IR1" s="10" t="s">
        <v>411</v>
      </c>
      <c r="IS1" s="10">
        <f>IQ1+3</f>
        <v>45900</v>
      </c>
      <c r="IT1" s="10" t="s">
        <v>412</v>
      </c>
      <c r="IU1" s="44" t="s">
        <v>410</v>
      </c>
      <c r="IV1" s="10">
        <f>IS1+1</f>
        <v>45901</v>
      </c>
      <c r="IW1" s="10">
        <f>IV1+1</f>
        <v>45902</v>
      </c>
      <c r="IX1" s="10">
        <f>IW1+1</f>
        <v>45903</v>
      </c>
      <c r="IY1" s="10">
        <f>IX1+1</f>
        <v>45904</v>
      </c>
      <c r="IZ1" s="10" t="s">
        <v>412</v>
      </c>
      <c r="JA1" s="10">
        <f>IY1+3</f>
        <v>45907</v>
      </c>
      <c r="JB1" s="10">
        <f>JA1+1</f>
        <v>45908</v>
      </c>
      <c r="JC1" s="10">
        <f>JB1+1</f>
        <v>45909</v>
      </c>
      <c r="JD1" s="10">
        <f>JC1+1</f>
        <v>45910</v>
      </c>
      <c r="JE1" s="10">
        <f>JD1+1</f>
        <v>45911</v>
      </c>
      <c r="JF1" s="10" t="s">
        <v>429</v>
      </c>
      <c r="JG1" s="10">
        <f>JE1+3</f>
        <v>45914</v>
      </c>
      <c r="JH1" s="10">
        <f>JG1+1</f>
        <v>45915</v>
      </c>
      <c r="JI1" s="10">
        <f>JH1+1</f>
        <v>45916</v>
      </c>
      <c r="JJ1" s="10">
        <f>JI1+1</f>
        <v>45917</v>
      </c>
      <c r="JK1" s="10">
        <f>JJ1+1</f>
        <v>45918</v>
      </c>
      <c r="JL1" s="10" t="s">
        <v>413</v>
      </c>
      <c r="JM1" s="10">
        <f>JK1+3</f>
        <v>45921</v>
      </c>
      <c r="JN1" s="10">
        <f>JM1+1</f>
        <v>45922</v>
      </c>
      <c r="JO1" s="10">
        <f>JN1+1</f>
        <v>45923</v>
      </c>
      <c r="JP1" s="10">
        <f>JO1+1</f>
        <v>45924</v>
      </c>
      <c r="JQ1" s="10">
        <f>JP1+1</f>
        <v>45925</v>
      </c>
      <c r="JR1" s="10" t="s">
        <v>404</v>
      </c>
      <c r="JS1" s="10">
        <f>JQ1+3</f>
        <v>45928</v>
      </c>
      <c r="JT1" s="10">
        <f>JS1+1</f>
        <v>45929</v>
      </c>
      <c r="JU1" s="10">
        <f>JT1+1</f>
        <v>45930</v>
      </c>
      <c r="JV1" s="10" t="s">
        <v>414</v>
      </c>
      <c r="JW1" s="45" t="s">
        <v>43</v>
      </c>
      <c r="JX1" s="10">
        <f>JU1+1</f>
        <v>45931</v>
      </c>
      <c r="JY1" s="10">
        <f>JX1+1</f>
        <v>45932</v>
      </c>
      <c r="JZ1" s="10" t="s">
        <v>414</v>
      </c>
      <c r="KA1" s="10">
        <f>JY1+3</f>
        <v>45935</v>
      </c>
      <c r="KB1" s="10">
        <f>KA1+1</f>
        <v>45936</v>
      </c>
      <c r="KC1" s="10">
        <f>KB1+1</f>
        <v>45937</v>
      </c>
      <c r="KD1" s="10">
        <f>KC1+1</f>
        <v>45938</v>
      </c>
      <c r="KE1" s="10">
        <f>KD1+1</f>
        <v>45939</v>
      </c>
      <c r="KF1" s="10" t="s">
        <v>415</v>
      </c>
      <c r="KG1" s="10">
        <f>KE1+3</f>
        <v>45942</v>
      </c>
      <c r="KH1" s="10">
        <f>KG1+1</f>
        <v>45943</v>
      </c>
      <c r="KI1" s="10">
        <f>KH1+1</f>
        <v>45944</v>
      </c>
      <c r="KJ1" s="10">
        <f>KI1+1</f>
        <v>45945</v>
      </c>
      <c r="KK1" s="10">
        <f>KJ1+1</f>
        <v>45946</v>
      </c>
      <c r="KL1" s="10" t="s">
        <v>416</v>
      </c>
      <c r="KM1" s="10">
        <f>KK1+3</f>
        <v>45949</v>
      </c>
      <c r="KN1" s="10">
        <f>KM1+1</f>
        <v>45950</v>
      </c>
      <c r="KO1" s="10">
        <f>KN1+1</f>
        <v>45951</v>
      </c>
      <c r="KP1" s="10">
        <f>KO1+1</f>
        <v>45952</v>
      </c>
      <c r="KQ1" s="10">
        <f>KP1+1</f>
        <v>45953</v>
      </c>
      <c r="KR1" s="10" t="s">
        <v>417</v>
      </c>
      <c r="KS1" s="10">
        <f>KQ1+3</f>
        <v>45956</v>
      </c>
      <c r="KT1" s="10">
        <f>KS1+1</f>
        <v>45957</v>
      </c>
      <c r="KU1" s="10">
        <f>KT1+1</f>
        <v>45958</v>
      </c>
      <c r="KV1" s="10">
        <f>KU1+1</f>
        <v>45959</v>
      </c>
      <c r="KW1" s="10">
        <f>KV1+1</f>
        <v>45960</v>
      </c>
      <c r="KX1" s="10" t="s">
        <v>418</v>
      </c>
      <c r="KY1" s="46" t="s">
        <v>44</v>
      </c>
      <c r="KZ1" s="10">
        <f>KW1+3</f>
        <v>45963</v>
      </c>
      <c r="LA1" s="10">
        <f>KZ1+1</f>
        <v>45964</v>
      </c>
      <c r="LB1" s="10">
        <f>LA1+1</f>
        <v>45965</v>
      </c>
      <c r="LC1" s="10">
        <f>LB1+1</f>
        <v>45966</v>
      </c>
      <c r="LD1" s="10">
        <f>LC1+1</f>
        <v>45967</v>
      </c>
      <c r="LE1" s="10" t="s">
        <v>419</v>
      </c>
      <c r="LF1" s="10">
        <f>LD1+3</f>
        <v>45970</v>
      </c>
      <c r="LG1" s="10">
        <f>LF1+1</f>
        <v>45971</v>
      </c>
      <c r="LH1" s="10">
        <f>LG1+1</f>
        <v>45972</v>
      </c>
      <c r="LI1" s="10">
        <f>LH1+1</f>
        <v>45973</v>
      </c>
      <c r="LJ1" s="10">
        <f>LI1+1</f>
        <v>45974</v>
      </c>
      <c r="LK1" s="10" t="s">
        <v>420</v>
      </c>
      <c r="LL1" s="10">
        <f>LJ1+3</f>
        <v>45977</v>
      </c>
      <c r="LM1" s="10">
        <f>LL1+1</f>
        <v>45978</v>
      </c>
      <c r="LN1" s="10">
        <f>LM1+1</f>
        <v>45979</v>
      </c>
      <c r="LO1" s="10">
        <f>LN1+1</f>
        <v>45980</v>
      </c>
      <c r="LP1" s="10">
        <f>LO1+1</f>
        <v>45981</v>
      </c>
      <c r="LQ1" s="10" t="s">
        <v>421</v>
      </c>
      <c r="LR1" s="10">
        <f>LP1+3</f>
        <v>45984</v>
      </c>
      <c r="LS1" s="10">
        <f>LR1+1</f>
        <v>45985</v>
      </c>
      <c r="LT1" s="10">
        <f>LS1+1</f>
        <v>45986</v>
      </c>
      <c r="LU1" s="10">
        <f>LT1+1</f>
        <v>45987</v>
      </c>
      <c r="LV1" s="10">
        <f>LU1+1</f>
        <v>45988</v>
      </c>
      <c r="LW1" s="10" t="s">
        <v>422</v>
      </c>
      <c r="LX1" s="10">
        <f>LV1+3</f>
        <v>45991</v>
      </c>
      <c r="LY1" s="10" t="s">
        <v>423</v>
      </c>
      <c r="LZ1" s="47" t="s">
        <v>50</v>
      </c>
      <c r="MA1" s="10">
        <f>LV1+4</f>
        <v>45992</v>
      </c>
      <c r="MB1" s="10">
        <f>MA1+1</f>
        <v>45993</v>
      </c>
      <c r="MC1" s="10">
        <f>MB1+1</f>
        <v>45994</v>
      </c>
      <c r="MD1" s="10">
        <f>MC1+1</f>
        <v>45995</v>
      </c>
      <c r="ME1" s="10" t="s">
        <v>423</v>
      </c>
      <c r="MF1" s="10">
        <f>MD1+3</f>
        <v>45998</v>
      </c>
      <c r="MG1" s="10">
        <f>MF1+1</f>
        <v>45999</v>
      </c>
      <c r="MH1" s="10">
        <f>MG1+1</f>
        <v>46000</v>
      </c>
      <c r="MI1" s="10">
        <f>MH1+1</f>
        <v>46001</v>
      </c>
      <c r="MJ1" s="10">
        <f>MI1+1</f>
        <v>46002</v>
      </c>
      <c r="MK1" s="10" t="s">
        <v>424</v>
      </c>
      <c r="ML1" s="10">
        <f>MJ1+3</f>
        <v>46005</v>
      </c>
      <c r="MM1" s="10">
        <f>ML1+1</f>
        <v>46006</v>
      </c>
      <c r="MN1" s="10">
        <f>MM1+1</f>
        <v>46007</v>
      </c>
      <c r="MO1" s="10">
        <f>MN1+1</f>
        <v>46008</v>
      </c>
      <c r="MP1" s="10">
        <f>MO1+1</f>
        <v>46009</v>
      </c>
      <c r="MQ1" s="10" t="s">
        <v>425</v>
      </c>
      <c r="MR1" s="10">
        <f>MP1+3</f>
        <v>46012</v>
      </c>
      <c r="MS1" s="10">
        <f>MR1+1</f>
        <v>46013</v>
      </c>
      <c r="MT1" s="10">
        <f>MS1+1</f>
        <v>46014</v>
      </c>
      <c r="MU1" s="10">
        <f>MT1+1</f>
        <v>46015</v>
      </c>
      <c r="MV1" s="10">
        <f>MU1+1</f>
        <v>46016</v>
      </c>
      <c r="MW1" s="10" t="s">
        <v>426</v>
      </c>
      <c r="MX1" s="10">
        <f>MV1+3</f>
        <v>46019</v>
      </c>
      <c r="MY1" s="10">
        <f>MX1+1</f>
        <v>46020</v>
      </c>
      <c r="MZ1" s="10">
        <f>MY1+1</f>
        <v>46021</v>
      </c>
      <c r="NA1" s="10">
        <f>MZ1+1</f>
        <v>46022</v>
      </c>
      <c r="NB1" s="10" t="s">
        <v>427</v>
      </c>
      <c r="NC1" s="38" t="s">
        <v>428</v>
      </c>
      <c r="ND1" s="13">
        <v>2026</v>
      </c>
    </row>
    <row r="2" spans="1:368" x14ac:dyDescent="0.3">
      <c r="A2" s="16" t="s">
        <v>23</v>
      </c>
      <c r="B2" s="2" t="s">
        <v>145</v>
      </c>
      <c r="N2" s="16" t="s">
        <v>373</v>
      </c>
      <c r="O2" s="2" t="s">
        <v>147</v>
      </c>
      <c r="V2" s="16" t="s">
        <v>373</v>
      </c>
      <c r="W2" s="2" t="s">
        <v>574</v>
      </c>
      <c r="AL2" s="48" t="s">
        <v>587</v>
      </c>
      <c r="AM2" s="13">
        <v>35</v>
      </c>
      <c r="AN2" s="13">
        <v>35</v>
      </c>
      <c r="AO2" s="13">
        <v>35</v>
      </c>
      <c r="AP2" s="13">
        <v>35</v>
      </c>
      <c r="AQ2" s="13">
        <v>35</v>
      </c>
      <c r="AR2" s="13">
        <v>35</v>
      </c>
      <c r="AS2" s="13">
        <v>35</v>
      </c>
      <c r="AT2" s="13">
        <v>35</v>
      </c>
      <c r="AU2" s="13">
        <v>35</v>
      </c>
      <c r="AV2" s="13">
        <v>35</v>
      </c>
      <c r="AW2" s="13">
        <v>35</v>
      </c>
      <c r="AX2" s="13">
        <v>35</v>
      </c>
      <c r="AY2" s="13">
        <v>35</v>
      </c>
      <c r="AZ2" s="13">
        <v>35</v>
      </c>
      <c r="BA2" s="13">
        <v>35</v>
      </c>
      <c r="BB2" s="13">
        <v>35</v>
      </c>
      <c r="BC2" s="13">
        <v>35</v>
      </c>
      <c r="BD2" s="13">
        <v>35</v>
      </c>
      <c r="BE2" s="13">
        <v>35</v>
      </c>
      <c r="BF2" s="13">
        <v>35</v>
      </c>
      <c r="BG2" s="13">
        <v>35</v>
      </c>
      <c r="BH2" s="13">
        <v>35</v>
      </c>
      <c r="BI2" s="13">
        <v>35</v>
      </c>
      <c r="BJ2" s="13">
        <v>35</v>
      </c>
      <c r="BK2" s="13">
        <v>35</v>
      </c>
      <c r="BL2" s="13">
        <v>35</v>
      </c>
      <c r="BM2" s="13">
        <v>35</v>
      </c>
      <c r="BN2" s="13">
        <v>35</v>
      </c>
      <c r="BO2" s="13">
        <v>35</v>
      </c>
      <c r="BP2" s="13">
        <v>35</v>
      </c>
      <c r="BQ2" s="13">
        <v>35</v>
      </c>
      <c r="BR2" s="13">
        <v>35</v>
      </c>
      <c r="BS2" s="13">
        <v>35</v>
      </c>
      <c r="BT2" s="13">
        <v>35</v>
      </c>
      <c r="BU2" s="13">
        <v>35</v>
      </c>
      <c r="BV2" s="13">
        <v>35</v>
      </c>
      <c r="BW2" s="13">
        <v>35</v>
      </c>
      <c r="BX2" s="13">
        <v>35</v>
      </c>
      <c r="BY2" s="13">
        <v>35</v>
      </c>
      <c r="BZ2" s="13">
        <v>35</v>
      </c>
      <c r="CA2" s="13">
        <v>35</v>
      </c>
      <c r="CB2" s="13">
        <v>35</v>
      </c>
      <c r="CC2" s="13">
        <v>35</v>
      </c>
      <c r="CD2" s="13">
        <v>35</v>
      </c>
      <c r="CE2" s="13">
        <v>35</v>
      </c>
      <c r="CF2" s="13">
        <v>35</v>
      </c>
      <c r="CG2" s="13">
        <v>35</v>
      </c>
      <c r="CH2" s="13">
        <v>35</v>
      </c>
      <c r="CI2" s="13">
        <v>35</v>
      </c>
      <c r="CJ2" s="13">
        <v>35</v>
      </c>
      <c r="CK2" s="13">
        <v>35</v>
      </c>
      <c r="CL2" s="13">
        <v>35</v>
      </c>
      <c r="CM2" s="13">
        <v>35</v>
      </c>
      <c r="CN2" s="13">
        <v>35</v>
      </c>
      <c r="CO2" s="13">
        <v>35</v>
      </c>
      <c r="CP2" s="13">
        <v>35</v>
      </c>
      <c r="CQ2" s="13">
        <v>35</v>
      </c>
      <c r="CR2" s="13">
        <v>35</v>
      </c>
      <c r="CS2" s="13">
        <v>35</v>
      </c>
      <c r="CT2" s="13">
        <v>35</v>
      </c>
      <c r="CU2" s="13">
        <v>35</v>
      </c>
      <c r="CV2" s="13">
        <v>35</v>
      </c>
      <c r="CW2" s="13">
        <v>35</v>
      </c>
      <c r="CX2" s="13">
        <v>35</v>
      </c>
      <c r="CY2" s="13">
        <v>35</v>
      </c>
      <c r="CZ2" s="13">
        <v>35</v>
      </c>
      <c r="DA2" s="13">
        <v>35</v>
      </c>
      <c r="DB2" s="13">
        <v>35</v>
      </c>
      <c r="DC2" s="13">
        <v>35</v>
      </c>
      <c r="DD2" s="13">
        <v>35</v>
      </c>
      <c r="DE2" s="13">
        <v>35</v>
      </c>
      <c r="DF2" s="13">
        <v>35</v>
      </c>
      <c r="DG2" s="13">
        <v>35</v>
      </c>
      <c r="DH2" s="13">
        <v>35</v>
      </c>
      <c r="DI2" s="13">
        <v>35</v>
      </c>
      <c r="DJ2" s="13">
        <v>35</v>
      </c>
      <c r="DK2" s="13">
        <v>35</v>
      </c>
      <c r="DL2" s="13">
        <v>35</v>
      </c>
      <c r="DM2" s="13">
        <v>35</v>
      </c>
      <c r="DN2" s="13">
        <v>35</v>
      </c>
      <c r="DO2" s="13">
        <v>35</v>
      </c>
      <c r="DP2" s="13">
        <v>35</v>
      </c>
      <c r="DQ2" s="13">
        <v>35</v>
      </c>
      <c r="DR2" s="13">
        <v>35</v>
      </c>
      <c r="DS2" s="13">
        <v>35</v>
      </c>
      <c r="DT2" s="13">
        <v>35</v>
      </c>
      <c r="DU2" s="13">
        <v>35</v>
      </c>
      <c r="DV2" s="13">
        <v>35</v>
      </c>
      <c r="DW2" s="13">
        <v>35</v>
      </c>
      <c r="DX2" s="13">
        <v>35</v>
      </c>
      <c r="DY2" s="13">
        <v>35</v>
      </c>
      <c r="DZ2" s="13">
        <v>35</v>
      </c>
      <c r="EA2" s="13">
        <v>35</v>
      </c>
      <c r="EB2" s="13">
        <v>35</v>
      </c>
      <c r="EC2" s="13">
        <v>35</v>
      </c>
      <c r="ED2" s="13">
        <v>35</v>
      </c>
      <c r="EE2" s="13">
        <v>35</v>
      </c>
      <c r="EF2" s="13">
        <v>35</v>
      </c>
      <c r="EG2" s="13">
        <v>35</v>
      </c>
      <c r="EH2" s="13">
        <v>35</v>
      </c>
      <c r="EI2" s="13">
        <v>35</v>
      </c>
      <c r="EJ2" s="13">
        <v>35</v>
      </c>
      <c r="EK2" s="13">
        <v>35</v>
      </c>
      <c r="EL2" s="13">
        <v>35</v>
      </c>
      <c r="EM2" s="13">
        <v>35</v>
      </c>
      <c r="EN2" s="13">
        <v>35</v>
      </c>
      <c r="EO2" s="13">
        <v>35</v>
      </c>
      <c r="EP2" s="13">
        <v>35</v>
      </c>
      <c r="EQ2" s="13">
        <v>35</v>
      </c>
      <c r="ER2" s="13">
        <v>35</v>
      </c>
      <c r="ES2" s="13">
        <v>35</v>
      </c>
      <c r="ET2" s="13">
        <v>35</v>
      </c>
      <c r="EU2" s="13">
        <v>35</v>
      </c>
      <c r="EV2" s="13">
        <v>35</v>
      </c>
      <c r="EW2" s="13">
        <v>35</v>
      </c>
      <c r="EX2" s="13">
        <v>35</v>
      </c>
      <c r="EY2" s="13">
        <v>35</v>
      </c>
      <c r="EZ2" s="13">
        <v>35</v>
      </c>
      <c r="FA2" s="13">
        <v>35</v>
      </c>
      <c r="FB2" s="13">
        <v>35</v>
      </c>
      <c r="FC2" s="13">
        <v>35</v>
      </c>
      <c r="FD2" s="13">
        <v>35</v>
      </c>
      <c r="FE2" s="13">
        <v>35</v>
      </c>
      <c r="FF2" s="13">
        <v>35</v>
      </c>
      <c r="FG2" s="13">
        <v>35</v>
      </c>
      <c r="FH2" s="13">
        <v>35</v>
      </c>
      <c r="FI2" s="13">
        <v>35</v>
      </c>
      <c r="FJ2" s="13">
        <v>35</v>
      </c>
      <c r="FK2" s="13">
        <v>35</v>
      </c>
      <c r="FL2" s="13">
        <v>35</v>
      </c>
      <c r="FM2" s="13">
        <v>35</v>
      </c>
      <c r="FN2" s="13">
        <v>35</v>
      </c>
      <c r="FO2" s="13">
        <v>35</v>
      </c>
      <c r="FP2" s="13">
        <v>35</v>
      </c>
      <c r="FQ2" s="13">
        <v>35</v>
      </c>
      <c r="FR2" s="13">
        <v>35</v>
      </c>
      <c r="FS2" s="13">
        <v>35</v>
      </c>
      <c r="FT2" s="13">
        <v>35</v>
      </c>
      <c r="FU2" s="13">
        <v>35</v>
      </c>
      <c r="FV2" s="13">
        <v>35</v>
      </c>
      <c r="FW2" s="13">
        <v>35</v>
      </c>
      <c r="FX2" s="13">
        <v>35</v>
      </c>
      <c r="FY2" s="13">
        <v>35</v>
      </c>
      <c r="FZ2" s="13">
        <v>35</v>
      </c>
      <c r="GA2" s="13">
        <v>35</v>
      </c>
      <c r="GB2" s="13">
        <v>35</v>
      </c>
      <c r="GC2" s="13">
        <v>35</v>
      </c>
      <c r="GD2" s="13">
        <v>35</v>
      </c>
      <c r="GE2" s="13">
        <v>35</v>
      </c>
      <c r="GF2" s="13">
        <v>35</v>
      </c>
      <c r="GG2" s="13">
        <v>35</v>
      </c>
      <c r="GH2" s="13">
        <v>35</v>
      </c>
      <c r="GI2" s="13">
        <v>35</v>
      </c>
      <c r="GJ2" s="13">
        <v>35</v>
      </c>
      <c r="GK2" s="13">
        <v>35</v>
      </c>
      <c r="GL2" s="13">
        <v>35</v>
      </c>
      <c r="GM2" s="13">
        <v>35</v>
      </c>
      <c r="GN2" s="13">
        <v>35</v>
      </c>
      <c r="GO2" s="13">
        <v>35</v>
      </c>
      <c r="GP2" s="13">
        <v>35</v>
      </c>
      <c r="GQ2" s="13">
        <v>35</v>
      </c>
      <c r="GR2" s="13">
        <v>35</v>
      </c>
      <c r="GS2" s="13">
        <v>35</v>
      </c>
      <c r="GT2" s="13">
        <v>35</v>
      </c>
      <c r="GU2" s="13">
        <v>35</v>
      </c>
      <c r="GV2" s="13">
        <v>35</v>
      </c>
      <c r="GW2" s="13">
        <v>35</v>
      </c>
      <c r="GX2" s="13">
        <v>35</v>
      </c>
      <c r="GY2" s="13">
        <v>35</v>
      </c>
      <c r="GZ2" s="13">
        <v>35</v>
      </c>
      <c r="HA2" s="13">
        <v>35</v>
      </c>
      <c r="HB2" s="13">
        <v>35</v>
      </c>
      <c r="HC2" s="13">
        <v>35</v>
      </c>
      <c r="HD2" s="13">
        <v>35</v>
      </c>
      <c r="HE2" s="13">
        <v>35</v>
      </c>
      <c r="HF2" s="13">
        <v>35</v>
      </c>
      <c r="HG2" s="13">
        <v>35</v>
      </c>
      <c r="HH2" s="13">
        <v>35</v>
      </c>
      <c r="HI2" s="13">
        <v>35</v>
      </c>
      <c r="HJ2" s="13">
        <v>35</v>
      </c>
      <c r="HK2" s="13">
        <v>35</v>
      </c>
      <c r="HL2" s="13">
        <v>35</v>
      </c>
      <c r="HM2" s="13">
        <v>35</v>
      </c>
      <c r="HN2" s="13">
        <v>35</v>
      </c>
      <c r="HO2" s="13">
        <v>35</v>
      </c>
      <c r="HP2" s="13">
        <v>35</v>
      </c>
      <c r="HQ2" s="13">
        <v>35</v>
      </c>
      <c r="HR2" s="13">
        <v>35</v>
      </c>
      <c r="HS2" s="13">
        <v>35</v>
      </c>
      <c r="HT2" s="13">
        <v>35</v>
      </c>
      <c r="HU2" s="13">
        <v>35</v>
      </c>
      <c r="HV2" s="13">
        <v>35</v>
      </c>
      <c r="HW2" s="13">
        <v>35</v>
      </c>
      <c r="HX2" s="13">
        <v>35</v>
      </c>
      <c r="HY2" s="13">
        <v>35</v>
      </c>
      <c r="HZ2" s="13">
        <v>35</v>
      </c>
      <c r="IA2" s="13">
        <v>35</v>
      </c>
      <c r="IB2" s="13">
        <v>35</v>
      </c>
      <c r="IC2" s="13">
        <v>35</v>
      </c>
      <c r="ID2" s="13">
        <v>35</v>
      </c>
      <c r="IE2" s="13">
        <v>35</v>
      </c>
      <c r="IF2" s="13">
        <v>35</v>
      </c>
      <c r="IG2" s="13">
        <v>35</v>
      </c>
      <c r="IH2" s="13">
        <v>35</v>
      </c>
      <c r="II2" s="13">
        <v>35</v>
      </c>
      <c r="IJ2" s="13">
        <v>35</v>
      </c>
      <c r="IK2" s="13">
        <v>35</v>
      </c>
      <c r="IL2" s="13">
        <v>35</v>
      </c>
      <c r="IM2" s="13">
        <v>35</v>
      </c>
      <c r="IN2" s="13">
        <v>35</v>
      </c>
      <c r="IO2" s="13">
        <v>35</v>
      </c>
      <c r="IP2" s="13">
        <v>35</v>
      </c>
      <c r="IQ2" s="13">
        <v>35</v>
      </c>
      <c r="IR2" s="13">
        <v>35</v>
      </c>
      <c r="IS2" s="13">
        <v>35</v>
      </c>
      <c r="IT2" s="13">
        <v>35</v>
      </c>
      <c r="IU2" s="13">
        <v>35</v>
      </c>
      <c r="IV2" s="13">
        <v>35</v>
      </c>
      <c r="IW2" s="13">
        <v>35</v>
      </c>
      <c r="IX2" s="13">
        <v>35</v>
      </c>
      <c r="IY2" s="13">
        <v>35</v>
      </c>
      <c r="IZ2" s="13">
        <v>35</v>
      </c>
      <c r="JA2" s="13">
        <v>35</v>
      </c>
      <c r="JB2" s="13">
        <v>35</v>
      </c>
      <c r="JC2" s="13">
        <v>35</v>
      </c>
      <c r="JD2" s="13">
        <v>35</v>
      </c>
      <c r="JE2" s="13">
        <v>35</v>
      </c>
      <c r="JF2" s="13">
        <v>35</v>
      </c>
      <c r="JG2" s="13">
        <v>35</v>
      </c>
      <c r="JH2" s="13">
        <v>35</v>
      </c>
      <c r="JI2" s="13">
        <v>35</v>
      </c>
      <c r="JJ2" s="13">
        <v>35</v>
      </c>
      <c r="JK2" s="13">
        <v>35</v>
      </c>
      <c r="JL2" s="13">
        <v>35</v>
      </c>
      <c r="JM2" s="13">
        <v>35</v>
      </c>
      <c r="JN2" s="13">
        <v>35</v>
      </c>
      <c r="JO2" s="13">
        <v>35</v>
      </c>
      <c r="JP2" s="13">
        <v>35</v>
      </c>
      <c r="JQ2" s="13">
        <v>35</v>
      </c>
      <c r="JR2" s="13">
        <v>35</v>
      </c>
      <c r="JS2" s="13">
        <v>35</v>
      </c>
      <c r="JT2" s="13">
        <v>35</v>
      </c>
      <c r="JU2" s="13">
        <v>35</v>
      </c>
      <c r="JV2" s="13">
        <v>35</v>
      </c>
      <c r="JW2" s="13">
        <v>35</v>
      </c>
      <c r="JX2" s="13">
        <v>35</v>
      </c>
      <c r="JY2" s="13">
        <v>35</v>
      </c>
      <c r="JZ2" s="13">
        <v>35</v>
      </c>
      <c r="KA2" s="13">
        <v>35</v>
      </c>
      <c r="KB2" s="13">
        <v>35</v>
      </c>
      <c r="KC2" s="13">
        <v>35</v>
      </c>
      <c r="KD2" s="13">
        <v>35</v>
      </c>
      <c r="KE2" s="13">
        <v>35</v>
      </c>
      <c r="KF2" s="13">
        <v>35</v>
      </c>
      <c r="KG2" s="13">
        <v>35</v>
      </c>
      <c r="KH2" s="13">
        <v>35</v>
      </c>
      <c r="KI2" s="13">
        <v>35</v>
      </c>
      <c r="KJ2" s="13">
        <v>35</v>
      </c>
      <c r="KK2" s="13">
        <v>35</v>
      </c>
      <c r="KL2" s="13">
        <v>35</v>
      </c>
      <c r="KM2" s="13">
        <v>35</v>
      </c>
      <c r="KN2" s="13">
        <v>35</v>
      </c>
      <c r="KO2" s="13">
        <v>35</v>
      </c>
      <c r="KP2" s="13">
        <v>35</v>
      </c>
      <c r="KQ2" s="13">
        <v>35</v>
      </c>
      <c r="KR2" s="13">
        <v>35</v>
      </c>
      <c r="KS2" s="13">
        <v>35</v>
      </c>
      <c r="KT2" s="13">
        <v>35</v>
      </c>
      <c r="KU2" s="13">
        <v>35</v>
      </c>
      <c r="KV2" s="13">
        <v>35</v>
      </c>
      <c r="KW2" s="13">
        <v>35</v>
      </c>
      <c r="KX2" s="13">
        <v>35</v>
      </c>
      <c r="KY2" s="13">
        <v>35</v>
      </c>
      <c r="KZ2" s="13">
        <v>35</v>
      </c>
      <c r="LA2" s="13">
        <v>35</v>
      </c>
      <c r="LB2" s="13">
        <v>35</v>
      </c>
      <c r="LC2" s="13">
        <v>35</v>
      </c>
      <c r="LD2" s="13">
        <v>35</v>
      </c>
      <c r="LE2" s="13">
        <v>35</v>
      </c>
      <c r="LF2" s="13">
        <v>35</v>
      </c>
      <c r="LG2" s="13">
        <v>35</v>
      </c>
      <c r="LH2" s="13">
        <v>35</v>
      </c>
      <c r="LI2" s="13">
        <v>35</v>
      </c>
      <c r="LJ2" s="13">
        <v>35</v>
      </c>
      <c r="LK2" s="13">
        <v>35</v>
      </c>
      <c r="LL2" s="13">
        <v>35</v>
      </c>
      <c r="LM2" s="13">
        <v>35</v>
      </c>
      <c r="LN2" s="13">
        <v>35</v>
      </c>
      <c r="LO2" s="13">
        <v>35</v>
      </c>
      <c r="LP2" s="13">
        <v>35</v>
      </c>
      <c r="LQ2" s="13">
        <v>35</v>
      </c>
      <c r="LR2" s="13">
        <v>35</v>
      </c>
      <c r="LS2" s="13">
        <v>35</v>
      </c>
      <c r="LT2" s="13">
        <v>35</v>
      </c>
      <c r="LU2" s="13">
        <v>35</v>
      </c>
      <c r="LV2" s="13">
        <v>35</v>
      </c>
      <c r="LW2" s="13">
        <v>35</v>
      </c>
      <c r="LX2" s="13">
        <v>35</v>
      </c>
      <c r="LY2" s="13">
        <v>35</v>
      </c>
      <c r="LZ2" s="13">
        <v>35</v>
      </c>
      <c r="MA2" s="13">
        <v>35</v>
      </c>
      <c r="MB2" s="13">
        <v>35</v>
      </c>
      <c r="MC2" s="13">
        <v>35</v>
      </c>
      <c r="MD2" s="13">
        <v>35</v>
      </c>
      <c r="ME2" s="13">
        <v>35</v>
      </c>
      <c r="MF2" s="13">
        <v>35</v>
      </c>
      <c r="MG2" s="13">
        <v>35</v>
      </c>
      <c r="MH2" s="13">
        <v>35</v>
      </c>
      <c r="MI2" s="13">
        <v>35</v>
      </c>
      <c r="MJ2" s="13">
        <v>35</v>
      </c>
      <c r="MK2" s="13">
        <v>35</v>
      </c>
      <c r="ML2" s="13">
        <v>35</v>
      </c>
      <c r="MM2" s="13">
        <v>35</v>
      </c>
      <c r="MN2" s="13">
        <v>35</v>
      </c>
      <c r="MO2" s="13">
        <v>35</v>
      </c>
      <c r="MP2" s="13">
        <v>35</v>
      </c>
      <c r="MQ2" s="13">
        <v>35</v>
      </c>
      <c r="MR2" s="13">
        <v>35</v>
      </c>
      <c r="MS2" s="13">
        <v>35</v>
      </c>
      <c r="MT2" s="13">
        <v>35</v>
      </c>
      <c r="MU2" s="13">
        <v>35</v>
      </c>
      <c r="MV2" s="13">
        <v>35</v>
      </c>
      <c r="MW2" s="13">
        <v>35</v>
      </c>
      <c r="MX2" s="13">
        <v>35</v>
      </c>
      <c r="MY2" s="13">
        <v>35</v>
      </c>
      <c r="MZ2" s="13">
        <v>35</v>
      </c>
      <c r="NA2" s="13">
        <v>35</v>
      </c>
      <c r="NB2" s="13">
        <v>35</v>
      </c>
      <c r="NC2" s="13">
        <v>35</v>
      </c>
      <c r="ND2" s="13">
        <v>35</v>
      </c>
    </row>
    <row r="3" spans="1:368" x14ac:dyDescent="0.3">
      <c r="A3"/>
      <c r="B3"/>
      <c r="C3"/>
      <c r="I3" s="15"/>
      <c r="N3" s="16" t="s">
        <v>2</v>
      </c>
      <c r="O3" s="2" t="s">
        <v>147</v>
      </c>
      <c r="P3" s="13" t="s">
        <v>686</v>
      </c>
      <c r="Q3" s="13" t="s">
        <v>8</v>
      </c>
      <c r="R3" s="13" t="s">
        <v>27</v>
      </c>
      <c r="V3"/>
      <c r="W3"/>
      <c r="X3"/>
      <c r="AH3" s="20"/>
      <c r="AK3" s="20"/>
      <c r="AL3" s="48" t="s">
        <v>585</v>
      </c>
      <c r="AM3" s="13">
        <v>40</v>
      </c>
      <c r="AN3" s="13">
        <v>40</v>
      </c>
      <c r="AO3" s="13">
        <v>40</v>
      </c>
      <c r="AP3" s="13">
        <v>40</v>
      </c>
      <c r="AQ3" s="13">
        <v>40</v>
      </c>
      <c r="AR3" s="13">
        <v>40</v>
      </c>
      <c r="AS3" s="13">
        <v>40</v>
      </c>
      <c r="AT3" s="13">
        <v>40</v>
      </c>
      <c r="AU3" s="13">
        <v>40</v>
      </c>
      <c r="AV3" s="13">
        <v>40</v>
      </c>
      <c r="AW3" s="13">
        <v>40</v>
      </c>
      <c r="AX3" s="13">
        <f>AVERAGE(AS3:AW3)</f>
        <v>40</v>
      </c>
      <c r="AY3" s="13">
        <v>40</v>
      </c>
      <c r="AZ3" s="13">
        <v>40</v>
      </c>
      <c r="BA3" s="13">
        <v>40</v>
      </c>
      <c r="BB3" s="13">
        <v>40</v>
      </c>
      <c r="BC3" s="13">
        <v>40</v>
      </c>
      <c r="BD3" s="13">
        <f>AVERAGE(AY3:BC3)</f>
        <v>40</v>
      </c>
      <c r="BE3" s="13">
        <v>40</v>
      </c>
      <c r="BF3" s="13">
        <v>40</v>
      </c>
      <c r="BG3" s="13">
        <v>40</v>
      </c>
      <c r="BH3" s="13">
        <v>40</v>
      </c>
      <c r="BI3" s="13">
        <v>40</v>
      </c>
      <c r="BJ3" s="13">
        <f>AVERAGE(BE3:BI3)</f>
        <v>40</v>
      </c>
      <c r="BK3" s="13">
        <f>(AR3+AX3+BD3+BJ3)/4</f>
        <v>40</v>
      </c>
      <c r="BL3" s="13">
        <v>40</v>
      </c>
      <c r="BM3" s="13">
        <v>40</v>
      </c>
      <c r="BN3" s="13">
        <v>40</v>
      </c>
      <c r="BO3" s="13">
        <v>40</v>
      </c>
      <c r="BP3" s="13">
        <v>40</v>
      </c>
      <c r="BQ3" s="13">
        <f>AVERAGE(BL3:BP3)</f>
        <v>40</v>
      </c>
      <c r="BR3" s="13">
        <v>40</v>
      </c>
      <c r="BS3" s="13">
        <v>40</v>
      </c>
      <c r="BT3" s="13">
        <v>40</v>
      </c>
      <c r="BU3" s="13">
        <v>40</v>
      </c>
      <c r="BV3" s="13">
        <v>40</v>
      </c>
      <c r="BW3" s="13">
        <f>AVERAGE(BR3:BV3)</f>
        <v>40</v>
      </c>
      <c r="BX3" s="13">
        <v>40</v>
      </c>
      <c r="BY3" s="13">
        <v>40</v>
      </c>
      <c r="BZ3" s="13">
        <v>40</v>
      </c>
      <c r="CA3" s="13">
        <v>40</v>
      </c>
      <c r="CB3" s="13">
        <v>40</v>
      </c>
      <c r="CC3" s="13">
        <f>AVERAGE(BX3:CB3)</f>
        <v>40</v>
      </c>
      <c r="CD3" s="13">
        <v>40</v>
      </c>
      <c r="CE3" s="13">
        <v>40</v>
      </c>
      <c r="CF3" s="13">
        <v>40</v>
      </c>
      <c r="CG3" s="13">
        <v>40</v>
      </c>
      <c r="CH3" s="13">
        <v>40</v>
      </c>
      <c r="CI3" s="13">
        <f>AVERAGE(CD3:CH3)</f>
        <v>40</v>
      </c>
      <c r="CJ3" s="13">
        <f>(BQ3+BW3+CC3+CI3)/4</f>
        <v>40</v>
      </c>
      <c r="CK3" s="13">
        <v>40</v>
      </c>
      <c r="CL3" s="13">
        <v>40</v>
      </c>
      <c r="CM3" s="13">
        <v>40</v>
      </c>
      <c r="CN3" s="13">
        <v>40</v>
      </c>
      <c r="CO3" s="13">
        <v>40</v>
      </c>
      <c r="CP3" s="13">
        <f>AVERAGE(CK3:CO3)</f>
        <v>40</v>
      </c>
      <c r="CQ3" s="13">
        <v>40</v>
      </c>
      <c r="CR3" s="13">
        <v>40</v>
      </c>
      <c r="CS3" s="13">
        <v>40</v>
      </c>
      <c r="CT3" s="13">
        <v>40</v>
      </c>
      <c r="CU3" s="13">
        <v>40</v>
      </c>
      <c r="CV3" s="13">
        <f>AVERAGE(CQ3:CU3)</f>
        <v>40</v>
      </c>
      <c r="CW3" s="13">
        <v>40</v>
      </c>
      <c r="CX3" s="13">
        <v>40</v>
      </c>
      <c r="CY3" s="13">
        <v>40</v>
      </c>
      <c r="CZ3" s="13">
        <v>40</v>
      </c>
      <c r="DA3" s="13">
        <v>40</v>
      </c>
      <c r="DB3" s="13">
        <f>AVERAGE(CW3:DA3)</f>
        <v>40</v>
      </c>
      <c r="DC3" s="13">
        <v>40</v>
      </c>
      <c r="DD3" s="13">
        <v>40</v>
      </c>
      <c r="DE3" s="13">
        <v>40</v>
      </c>
      <c r="DF3" s="13">
        <v>40</v>
      </c>
      <c r="DG3" s="13">
        <v>40</v>
      </c>
      <c r="DH3" s="13">
        <f>AVERAGE(DC3:DG3)</f>
        <v>40</v>
      </c>
      <c r="DI3" s="13">
        <v>40</v>
      </c>
      <c r="DJ3" s="13">
        <v>40</v>
      </c>
      <c r="DK3" s="13">
        <f>AVERAGE(DI3:DJ3)</f>
        <v>40</v>
      </c>
      <c r="DL3" s="13">
        <f>(CP3+CV3+DB3+DH3)/4</f>
        <v>40</v>
      </c>
      <c r="DM3" s="13">
        <v>40</v>
      </c>
      <c r="DN3" s="13">
        <v>40</v>
      </c>
      <c r="DO3" s="13">
        <v>40</v>
      </c>
      <c r="DP3" s="13">
        <f>AVERAGE(DM3:DO3)</f>
        <v>40</v>
      </c>
      <c r="DQ3" s="13">
        <v>40</v>
      </c>
      <c r="DR3" s="13">
        <v>40</v>
      </c>
      <c r="DS3" s="13">
        <v>40</v>
      </c>
      <c r="DT3" s="13">
        <v>40</v>
      </c>
      <c r="DU3" s="13">
        <v>40</v>
      </c>
      <c r="DV3" s="13">
        <f>AVERAGE(DQ3:DU3)</f>
        <v>40</v>
      </c>
      <c r="DW3" s="13">
        <v>40</v>
      </c>
      <c r="DX3" s="13">
        <v>40</v>
      </c>
      <c r="DY3" s="13">
        <v>40</v>
      </c>
      <c r="DZ3" s="13">
        <v>40</v>
      </c>
      <c r="EA3" s="13">
        <v>40</v>
      </c>
      <c r="EB3" s="13">
        <f>AVERAGE(DW3:EA3)</f>
        <v>40</v>
      </c>
      <c r="EC3" s="13">
        <v>40</v>
      </c>
      <c r="ED3" s="13">
        <v>40</v>
      </c>
      <c r="EE3" s="13">
        <v>40</v>
      </c>
      <c r="EF3" s="13">
        <v>40</v>
      </c>
      <c r="EG3" s="13">
        <v>40</v>
      </c>
      <c r="EH3" s="13">
        <f>AVERAGE(EC3:EG3)</f>
        <v>40</v>
      </c>
      <c r="EI3" s="13">
        <v>40</v>
      </c>
      <c r="EJ3" s="13">
        <v>40</v>
      </c>
      <c r="EK3" s="13">
        <v>40</v>
      </c>
      <c r="EL3" s="13">
        <v>40</v>
      </c>
      <c r="EM3" s="13">
        <f>AVERAGE(EI3:EL3)</f>
        <v>40</v>
      </c>
      <c r="EN3" s="13">
        <f>(DP3+DV3+EB3+EH3+EM3)/5</f>
        <v>40</v>
      </c>
      <c r="EO3" s="13">
        <v>40</v>
      </c>
      <c r="EP3" s="13">
        <f>AVERAGE(EO3:EO3)</f>
        <v>40</v>
      </c>
      <c r="EQ3" s="13">
        <v>40</v>
      </c>
      <c r="ER3" s="13">
        <v>40</v>
      </c>
      <c r="ES3" s="13">
        <v>40</v>
      </c>
      <c r="ET3" s="13">
        <v>40</v>
      </c>
      <c r="EU3" s="13">
        <v>40</v>
      </c>
      <c r="EV3" s="13">
        <f>AVERAGE(EQ3:EU3)</f>
        <v>40</v>
      </c>
      <c r="EW3" s="13">
        <v>40</v>
      </c>
      <c r="EX3" s="13">
        <v>40</v>
      </c>
      <c r="EY3" s="13">
        <v>40</v>
      </c>
      <c r="EZ3" s="13">
        <v>40</v>
      </c>
      <c r="FA3" s="13">
        <v>40</v>
      </c>
      <c r="FB3" s="13">
        <f>AVERAGE(EW3:FA3)</f>
        <v>40</v>
      </c>
      <c r="FC3" s="13">
        <v>40</v>
      </c>
      <c r="FD3" s="13">
        <v>40</v>
      </c>
      <c r="FE3" s="13">
        <v>40</v>
      </c>
      <c r="FF3" s="13">
        <v>40</v>
      </c>
      <c r="FG3" s="13">
        <v>40</v>
      </c>
      <c r="FH3" s="13">
        <f>AVERAGE(FC3:FG3)</f>
        <v>40</v>
      </c>
      <c r="FI3" s="13">
        <v>40</v>
      </c>
      <c r="FJ3" s="13">
        <v>40</v>
      </c>
      <c r="FK3" s="13">
        <v>40</v>
      </c>
      <c r="FL3" s="13">
        <v>40</v>
      </c>
      <c r="FM3" s="13">
        <v>40</v>
      </c>
      <c r="FN3" s="13">
        <f>AVERAGE(FI3:FM3)</f>
        <v>40</v>
      </c>
      <c r="FO3" s="13">
        <f>(EP3+EV3+FB3+FH3+FN3)/5</f>
        <v>40</v>
      </c>
      <c r="FP3" s="13">
        <v>40</v>
      </c>
      <c r="FQ3" s="13">
        <v>40</v>
      </c>
      <c r="FR3" s="13">
        <v>40</v>
      </c>
      <c r="FS3" s="13">
        <v>40</v>
      </c>
      <c r="FT3" s="13">
        <v>40</v>
      </c>
      <c r="FU3" s="13">
        <f>AVERAGE(FP3:FT3)</f>
        <v>40</v>
      </c>
      <c r="FV3" s="13">
        <v>40</v>
      </c>
      <c r="FW3" s="13">
        <v>40</v>
      </c>
      <c r="FX3" s="13">
        <v>40</v>
      </c>
      <c r="FY3" s="13">
        <v>40</v>
      </c>
      <c r="FZ3" s="13">
        <v>40</v>
      </c>
      <c r="GA3" s="13">
        <f>AVERAGE(FV3:FZ3)</f>
        <v>40</v>
      </c>
      <c r="GB3" s="13">
        <v>40</v>
      </c>
      <c r="GC3" s="13">
        <v>40</v>
      </c>
      <c r="GD3" s="13">
        <v>40</v>
      </c>
      <c r="GE3" s="13">
        <v>40</v>
      </c>
      <c r="GF3" s="13">
        <v>40</v>
      </c>
      <c r="GG3" s="13">
        <f>AVERAGE(GB3:GF3)</f>
        <v>40</v>
      </c>
      <c r="GH3" s="13">
        <v>40</v>
      </c>
      <c r="GI3" s="13">
        <v>40</v>
      </c>
      <c r="GJ3" s="13">
        <v>40</v>
      </c>
      <c r="GK3" s="13">
        <v>40</v>
      </c>
      <c r="GL3" s="13">
        <v>40</v>
      </c>
      <c r="GM3" s="13">
        <f>AVERAGE(GH3:GL3)</f>
        <v>40</v>
      </c>
      <c r="GN3" s="13">
        <v>40</v>
      </c>
      <c r="GO3" s="13">
        <v>40</v>
      </c>
      <c r="GP3" s="13">
        <f>AVERAGE(GN3:GO3)</f>
        <v>40</v>
      </c>
      <c r="GQ3" s="13">
        <f>(FU3+GA3+GG3+GM3)/4</f>
        <v>40</v>
      </c>
      <c r="GR3" s="13">
        <v>40</v>
      </c>
      <c r="GS3" s="13">
        <v>40</v>
      </c>
      <c r="GT3" s="13">
        <v>40</v>
      </c>
      <c r="GU3" s="13">
        <f>AVERAGE(GR3:GT3)</f>
        <v>40</v>
      </c>
      <c r="GV3" s="13">
        <v>40</v>
      </c>
      <c r="GW3" s="13">
        <v>40</v>
      </c>
      <c r="GX3" s="13">
        <v>40</v>
      </c>
      <c r="GY3" s="13">
        <v>40</v>
      </c>
      <c r="GZ3" s="13">
        <v>40</v>
      </c>
      <c r="HA3" s="13">
        <f>AVERAGE(GV3:GZ3)</f>
        <v>40</v>
      </c>
      <c r="HB3" s="13">
        <v>40</v>
      </c>
      <c r="HC3" s="13">
        <v>40</v>
      </c>
      <c r="HD3" s="13">
        <v>40</v>
      </c>
      <c r="HE3" s="13">
        <v>40</v>
      </c>
      <c r="HF3" s="13">
        <v>40</v>
      </c>
      <c r="HG3" s="13">
        <f>AVERAGE(HB3:HF3)</f>
        <v>40</v>
      </c>
      <c r="HH3" s="13">
        <v>40</v>
      </c>
      <c r="HI3" s="13">
        <v>40</v>
      </c>
      <c r="HJ3" s="13">
        <v>40</v>
      </c>
      <c r="HK3" s="13">
        <v>40</v>
      </c>
      <c r="HL3" s="13">
        <v>40</v>
      </c>
      <c r="HM3" s="13">
        <f>AVERAGE(HH3:HL3)</f>
        <v>40</v>
      </c>
      <c r="HN3" s="13">
        <v>40</v>
      </c>
      <c r="HO3" s="13">
        <v>40</v>
      </c>
      <c r="HP3" s="13">
        <v>40</v>
      </c>
      <c r="HQ3" s="13">
        <v>40</v>
      </c>
      <c r="HR3" s="13">
        <v>40</v>
      </c>
      <c r="HS3" s="13">
        <f>AVERAGE(HN3:HR3)</f>
        <v>40</v>
      </c>
      <c r="HT3" s="13">
        <f>(HA3+HG3+HM3+HS3+GU3)/5</f>
        <v>40</v>
      </c>
      <c r="HU3" s="13">
        <v>40</v>
      </c>
      <c r="HV3" s="13">
        <v>40</v>
      </c>
      <c r="HW3" s="13">
        <v>40</v>
      </c>
      <c r="HX3" s="13">
        <v>40</v>
      </c>
      <c r="HY3" s="13">
        <v>40</v>
      </c>
      <c r="HZ3" s="13">
        <f>AVERAGE(HU3:HY3)</f>
        <v>40</v>
      </c>
      <c r="IA3" s="13">
        <v>40</v>
      </c>
      <c r="IB3" s="13">
        <v>40</v>
      </c>
      <c r="IC3" s="13">
        <v>40</v>
      </c>
      <c r="ID3" s="13">
        <v>40</v>
      </c>
      <c r="IE3" s="13">
        <v>40</v>
      </c>
      <c r="IF3" s="13">
        <f>AVERAGE(IA3:IE3)</f>
        <v>40</v>
      </c>
      <c r="IG3" s="13">
        <v>40</v>
      </c>
      <c r="IH3" s="13">
        <v>40</v>
      </c>
      <c r="II3" s="13">
        <v>40</v>
      </c>
      <c r="IJ3" s="13">
        <v>40</v>
      </c>
      <c r="IK3" s="13">
        <v>40</v>
      </c>
      <c r="IL3" s="13">
        <f>AVERAGE(IG3:IK3)</f>
        <v>40</v>
      </c>
      <c r="IM3" s="13">
        <v>40</v>
      </c>
      <c r="IN3" s="13">
        <v>40</v>
      </c>
      <c r="IO3" s="13">
        <v>40</v>
      </c>
      <c r="IP3" s="13">
        <v>40</v>
      </c>
      <c r="IQ3" s="13">
        <v>40</v>
      </c>
      <c r="IR3" s="13">
        <f>AVERAGE(IM3:IQ3)</f>
        <v>40</v>
      </c>
      <c r="IS3" s="13">
        <v>40</v>
      </c>
      <c r="IT3" s="13">
        <f>AVERAGE(IS3:IS3)</f>
        <v>40</v>
      </c>
      <c r="IU3" s="13">
        <f>(HZ3+IF3+IL3+IR3+IT3)/5</f>
        <v>40</v>
      </c>
      <c r="IV3" s="13">
        <v>40</v>
      </c>
      <c r="IW3" s="13">
        <v>40</v>
      </c>
      <c r="IX3" s="13">
        <v>40</v>
      </c>
      <c r="IY3" s="13">
        <v>40</v>
      </c>
      <c r="IZ3" s="13">
        <f>AVERAGE(IV3:IY3)</f>
        <v>40</v>
      </c>
      <c r="JA3" s="13">
        <v>40</v>
      </c>
      <c r="JB3" s="13">
        <v>40</v>
      </c>
      <c r="JC3" s="13">
        <v>40</v>
      </c>
      <c r="JD3" s="13">
        <v>40</v>
      </c>
      <c r="JE3" s="13">
        <v>40</v>
      </c>
      <c r="JF3" s="13">
        <f>AVERAGE(JA3:JE3)</f>
        <v>40</v>
      </c>
      <c r="JG3" s="13">
        <v>40</v>
      </c>
      <c r="JH3" s="13">
        <v>40</v>
      </c>
      <c r="JI3" s="13">
        <v>40</v>
      </c>
      <c r="JJ3" s="13">
        <v>40</v>
      </c>
      <c r="JK3" s="13">
        <v>40</v>
      </c>
      <c r="JL3" s="13">
        <f>AVERAGE(JG3:JK3)</f>
        <v>40</v>
      </c>
      <c r="JM3" s="13">
        <v>40</v>
      </c>
      <c r="JN3" s="13">
        <v>40</v>
      </c>
      <c r="JO3" s="13">
        <v>40</v>
      </c>
      <c r="JP3" s="13">
        <v>40</v>
      </c>
      <c r="JQ3" s="13">
        <v>40</v>
      </c>
      <c r="JR3" s="13">
        <f>AVERAGE(JM3:JQ3)</f>
        <v>40</v>
      </c>
      <c r="JS3" s="13">
        <v>40</v>
      </c>
      <c r="JT3" s="13">
        <v>40</v>
      </c>
      <c r="JU3" s="13">
        <v>40</v>
      </c>
      <c r="JV3" s="13">
        <f>AVERAGE(JS3:JU3)</f>
        <v>40</v>
      </c>
      <c r="JW3" s="13">
        <f>(IZ3+JF3+JL3+JR3)/4</f>
        <v>40</v>
      </c>
      <c r="JX3" s="13">
        <v>40</v>
      </c>
      <c r="JY3" s="13">
        <v>40</v>
      </c>
      <c r="JZ3" s="13">
        <f>AVERAGE(JX3:JX3)</f>
        <v>40</v>
      </c>
      <c r="KA3" s="13">
        <v>40</v>
      </c>
      <c r="KB3" s="13">
        <v>40</v>
      </c>
      <c r="KC3" s="13">
        <v>40</v>
      </c>
      <c r="KD3" s="13">
        <v>40</v>
      </c>
      <c r="KE3" s="13">
        <v>40</v>
      </c>
      <c r="KF3" s="13">
        <f>AVERAGE(KA3:KE3)</f>
        <v>40</v>
      </c>
      <c r="KG3" s="13">
        <v>40</v>
      </c>
      <c r="KH3" s="13">
        <v>40</v>
      </c>
      <c r="KI3" s="13">
        <v>40</v>
      </c>
      <c r="KJ3" s="13">
        <v>40</v>
      </c>
      <c r="KK3" s="13">
        <v>40</v>
      </c>
      <c r="KL3" s="13">
        <f>AVERAGE(KG3:KK3)</f>
        <v>40</v>
      </c>
      <c r="KM3" s="13">
        <v>40</v>
      </c>
      <c r="KN3" s="13">
        <v>40</v>
      </c>
      <c r="KO3" s="13">
        <v>40</v>
      </c>
      <c r="KP3" s="13">
        <v>40</v>
      </c>
      <c r="KQ3" s="13">
        <v>40</v>
      </c>
      <c r="KR3" s="13">
        <f>AVERAGE(KM3:KQ3)</f>
        <v>40</v>
      </c>
      <c r="KS3" s="13">
        <v>40</v>
      </c>
      <c r="KT3" s="13">
        <v>40</v>
      </c>
      <c r="KU3" s="13">
        <v>40</v>
      </c>
      <c r="KV3" s="13">
        <v>40</v>
      </c>
      <c r="KW3" s="13">
        <v>40</v>
      </c>
      <c r="KX3" s="13">
        <f>AVERAGE(KS3:KW3)</f>
        <v>40</v>
      </c>
      <c r="KY3" s="13">
        <f>(KF3+KL3+KR3+KX3)/4</f>
        <v>40</v>
      </c>
      <c r="KZ3" s="13">
        <v>40</v>
      </c>
      <c r="LA3" s="13">
        <v>40</v>
      </c>
      <c r="LB3" s="13">
        <v>40</v>
      </c>
      <c r="LC3" s="13">
        <v>40</v>
      </c>
      <c r="LD3" s="13">
        <v>40</v>
      </c>
      <c r="LE3" s="13">
        <f>AVERAGE(KZ3:LD3)</f>
        <v>40</v>
      </c>
      <c r="LF3" s="13">
        <v>40</v>
      </c>
      <c r="LG3" s="13">
        <v>40</v>
      </c>
      <c r="LH3" s="13">
        <v>40</v>
      </c>
      <c r="LI3" s="13">
        <v>40</v>
      </c>
      <c r="LJ3" s="13">
        <v>40</v>
      </c>
      <c r="LK3" s="13">
        <f>AVERAGE(LF3:LJ3)</f>
        <v>40</v>
      </c>
      <c r="LL3" s="13">
        <v>40</v>
      </c>
      <c r="LM3" s="13">
        <v>40</v>
      </c>
      <c r="LN3" s="13">
        <v>40</v>
      </c>
      <c r="LO3" s="13">
        <v>40</v>
      </c>
      <c r="LP3" s="13">
        <v>40</v>
      </c>
      <c r="LQ3" s="13">
        <f>AVERAGE(LL3:LP3)</f>
        <v>40</v>
      </c>
      <c r="LR3" s="13">
        <v>40</v>
      </c>
      <c r="LS3" s="13">
        <v>40</v>
      </c>
      <c r="LT3" s="13">
        <v>40</v>
      </c>
      <c r="LU3" s="13">
        <v>40</v>
      </c>
      <c r="LV3" s="13">
        <v>40</v>
      </c>
      <c r="LW3" s="13">
        <f>AVERAGE(LR3:LV3)</f>
        <v>40</v>
      </c>
      <c r="LX3" s="13">
        <v>40</v>
      </c>
      <c r="LY3" s="13">
        <f>AVERAGE(LX3:LX3)</f>
        <v>40</v>
      </c>
      <c r="LZ3" s="13">
        <f>(LE3+LK3+LQ3+LW3+LY3)/5</f>
        <v>40</v>
      </c>
      <c r="MA3" s="13">
        <v>40</v>
      </c>
      <c r="MB3" s="13">
        <v>40</v>
      </c>
      <c r="MC3" s="13">
        <v>40</v>
      </c>
      <c r="MD3" s="13">
        <v>40</v>
      </c>
      <c r="ME3" s="13">
        <f>AVERAGE(MA3:MD3)</f>
        <v>40</v>
      </c>
      <c r="MF3" s="13">
        <v>40</v>
      </c>
      <c r="MG3" s="13">
        <v>40</v>
      </c>
      <c r="MH3" s="13">
        <v>40</v>
      </c>
      <c r="MI3" s="13">
        <v>40</v>
      </c>
      <c r="MJ3" s="13">
        <v>40</v>
      </c>
      <c r="MK3" s="13">
        <f>AVERAGE(MF3:MJ3)</f>
        <v>40</v>
      </c>
      <c r="ML3" s="13">
        <v>40</v>
      </c>
      <c r="MM3" s="13">
        <v>40</v>
      </c>
      <c r="MN3" s="13">
        <v>40</v>
      </c>
      <c r="MO3" s="13">
        <v>40</v>
      </c>
      <c r="MP3" s="13">
        <v>40</v>
      </c>
      <c r="MQ3" s="13">
        <f>AVERAGE(ML3:MP3)</f>
        <v>40</v>
      </c>
      <c r="MR3" s="13">
        <v>40</v>
      </c>
      <c r="MS3" s="13">
        <v>40</v>
      </c>
      <c r="MT3" s="13">
        <v>40</v>
      </c>
      <c r="MU3" s="13">
        <v>40</v>
      </c>
      <c r="MV3" s="13">
        <v>40</v>
      </c>
      <c r="MW3" s="13">
        <f>AVERAGE(MR3:MV3)</f>
        <v>40</v>
      </c>
      <c r="MX3" s="13">
        <v>40</v>
      </c>
      <c r="MY3" s="13">
        <v>40</v>
      </c>
      <c r="MZ3" s="13">
        <v>40</v>
      </c>
      <c r="NA3" s="13">
        <v>40</v>
      </c>
      <c r="NB3" s="13">
        <f>AVERAGE(MX3:NA3)</f>
        <v>40</v>
      </c>
      <c r="NC3" s="13">
        <f>(ME3+MK3+MQ3+MW3+NB3)/5</f>
        <v>40</v>
      </c>
      <c r="ND3" s="13">
        <f>BK3</f>
        <v>40</v>
      </c>
    </row>
    <row r="4" spans="1:368" x14ac:dyDescent="0.3">
      <c r="B4" s="16" t="s">
        <v>619</v>
      </c>
      <c r="N4" s="16" t="s">
        <v>7</v>
      </c>
      <c r="O4" s="2" t="s">
        <v>145</v>
      </c>
      <c r="P4" s="13">
        <f>GETPIVOTDATA("Somme de Nombre des piéces controlés",$N$6,"detecter par","contrôle technique")+GETPIVOTDATA("Somme de Nombre des piéces controlés",$N$6,"detecter par","Assemblage mécanique")</f>
        <v>503</v>
      </c>
      <c r="Q4" s="13">
        <f>GETPIVOTDATA("Somme de Nombre des piéces controlés",$N$18,"Statu","Prototype")</f>
        <v>77</v>
      </c>
      <c r="R4" s="13">
        <f>GETPIVOTDATA("Somme de Nombre des piéces controlés",$N$18,"Statu","Duplication")</f>
        <v>426</v>
      </c>
      <c r="V4" s="16" t="s">
        <v>31</v>
      </c>
      <c r="W4" s="2" t="s">
        <v>143</v>
      </c>
      <c r="X4" s="2" t="s">
        <v>144</v>
      </c>
      <c r="Y4" s="14" t="s">
        <v>0</v>
      </c>
      <c r="Z4" s="14" t="s">
        <v>26</v>
      </c>
      <c r="AA4" s="14" t="s">
        <v>146</v>
      </c>
      <c r="AB4" s="14" t="s">
        <v>150</v>
      </c>
      <c r="AC4" s="14" t="s">
        <v>149</v>
      </c>
      <c r="AD4" s="18"/>
      <c r="AL4" s="48" t="s">
        <v>978</v>
      </c>
      <c r="AM4" s="13">
        <v>45</v>
      </c>
      <c r="AN4" s="13">
        <v>45</v>
      </c>
      <c r="AO4" s="13">
        <v>45</v>
      </c>
      <c r="AP4" s="13">
        <v>45</v>
      </c>
      <c r="AQ4" s="13">
        <v>45</v>
      </c>
      <c r="AR4" s="13">
        <v>45</v>
      </c>
      <c r="AS4" s="13">
        <v>45</v>
      </c>
      <c r="AT4" s="13">
        <v>45</v>
      </c>
      <c r="AU4" s="13">
        <v>45</v>
      </c>
      <c r="AV4" s="13">
        <v>45</v>
      </c>
      <c r="AW4" s="13">
        <v>45</v>
      </c>
      <c r="AX4" s="13">
        <v>45</v>
      </c>
      <c r="AY4" s="13">
        <v>45</v>
      </c>
      <c r="AZ4" s="13">
        <v>45</v>
      </c>
      <c r="BA4" s="13">
        <v>45</v>
      </c>
      <c r="BB4" s="13">
        <v>45</v>
      </c>
      <c r="BC4" s="13">
        <v>45</v>
      </c>
      <c r="BD4" s="13">
        <v>45</v>
      </c>
      <c r="BE4" s="13">
        <v>45</v>
      </c>
      <c r="BF4" s="13">
        <v>45</v>
      </c>
      <c r="BG4" s="13">
        <v>45</v>
      </c>
      <c r="BH4" s="13">
        <v>45</v>
      </c>
      <c r="BI4" s="13">
        <v>45</v>
      </c>
      <c r="BJ4" s="13">
        <v>45</v>
      </c>
      <c r="BK4" s="13">
        <v>45</v>
      </c>
      <c r="BL4" s="13">
        <v>45</v>
      </c>
      <c r="BM4" s="13">
        <v>45</v>
      </c>
      <c r="BN4" s="13">
        <v>45</v>
      </c>
      <c r="BO4" s="13">
        <v>45</v>
      </c>
      <c r="BP4" s="13">
        <v>45</v>
      </c>
      <c r="BQ4" s="13">
        <v>45</v>
      </c>
      <c r="BR4" s="13">
        <v>45</v>
      </c>
      <c r="BS4" s="13">
        <v>45</v>
      </c>
      <c r="BT4" s="13">
        <v>45</v>
      </c>
      <c r="BU4" s="13">
        <v>45</v>
      </c>
      <c r="BV4" s="13">
        <v>45</v>
      </c>
      <c r="BW4" s="13">
        <v>45</v>
      </c>
      <c r="BX4" s="13">
        <v>45</v>
      </c>
      <c r="BY4" s="13">
        <v>45</v>
      </c>
      <c r="BZ4" s="13">
        <v>45</v>
      </c>
      <c r="CA4" s="13">
        <v>45</v>
      </c>
      <c r="CB4" s="13">
        <v>45</v>
      </c>
      <c r="CC4" s="13">
        <v>45</v>
      </c>
      <c r="CD4" s="13">
        <v>45</v>
      </c>
      <c r="CE4" s="13">
        <v>45</v>
      </c>
      <c r="CF4" s="13">
        <v>45</v>
      </c>
      <c r="CG4" s="13">
        <v>45</v>
      </c>
      <c r="CH4" s="13">
        <v>45</v>
      </c>
      <c r="CI4" s="13">
        <v>45</v>
      </c>
      <c r="CJ4" s="13">
        <v>45</v>
      </c>
      <c r="CK4" s="13">
        <v>45</v>
      </c>
      <c r="CL4" s="13">
        <v>45</v>
      </c>
      <c r="CM4" s="13">
        <v>45</v>
      </c>
      <c r="CN4" s="13">
        <v>45</v>
      </c>
      <c r="CO4" s="13">
        <v>45</v>
      </c>
      <c r="CP4" s="13">
        <v>45</v>
      </c>
      <c r="CQ4" s="13">
        <v>45</v>
      </c>
      <c r="CR4" s="13">
        <v>45</v>
      </c>
      <c r="CS4" s="13">
        <v>45</v>
      </c>
      <c r="CT4" s="13">
        <v>45</v>
      </c>
      <c r="CU4" s="13">
        <v>45</v>
      </c>
      <c r="CV4" s="13">
        <v>45</v>
      </c>
      <c r="CW4" s="13">
        <v>45</v>
      </c>
      <c r="CX4" s="13">
        <v>45</v>
      </c>
      <c r="CY4" s="13">
        <v>45</v>
      </c>
      <c r="CZ4" s="13">
        <v>45</v>
      </c>
      <c r="DA4" s="13">
        <v>45</v>
      </c>
      <c r="DB4" s="13">
        <v>45</v>
      </c>
      <c r="DC4" s="13">
        <v>45</v>
      </c>
      <c r="DD4" s="13">
        <v>45</v>
      </c>
      <c r="DE4" s="13">
        <v>45</v>
      </c>
      <c r="DF4" s="13">
        <v>45</v>
      </c>
      <c r="DG4" s="13">
        <v>45</v>
      </c>
      <c r="DH4" s="13">
        <v>45</v>
      </c>
      <c r="DI4" s="13">
        <v>45</v>
      </c>
      <c r="DJ4" s="13">
        <v>45</v>
      </c>
      <c r="DK4" s="13">
        <v>45</v>
      </c>
      <c r="DL4" s="13">
        <v>45</v>
      </c>
      <c r="DM4" s="13">
        <v>45</v>
      </c>
      <c r="DN4" s="13">
        <v>45</v>
      </c>
      <c r="DO4" s="13">
        <v>45</v>
      </c>
      <c r="DP4" s="13">
        <v>45</v>
      </c>
      <c r="DQ4" s="13">
        <v>45</v>
      </c>
      <c r="DR4" s="13">
        <v>45</v>
      </c>
      <c r="DS4" s="13">
        <v>45</v>
      </c>
      <c r="DT4" s="13">
        <v>45</v>
      </c>
      <c r="DU4" s="13">
        <v>45</v>
      </c>
      <c r="DV4" s="13">
        <v>45</v>
      </c>
      <c r="DW4" s="13">
        <v>45</v>
      </c>
      <c r="DX4" s="13">
        <v>45</v>
      </c>
      <c r="DY4" s="13">
        <v>45</v>
      </c>
      <c r="DZ4" s="13">
        <v>45</v>
      </c>
      <c r="EA4" s="13">
        <v>45</v>
      </c>
      <c r="EB4" s="13">
        <v>45</v>
      </c>
      <c r="EC4" s="13">
        <v>45</v>
      </c>
      <c r="ED4" s="13">
        <v>45</v>
      </c>
      <c r="EE4" s="13">
        <v>45</v>
      </c>
      <c r="EF4" s="13">
        <v>45</v>
      </c>
      <c r="EG4" s="13">
        <v>45</v>
      </c>
      <c r="EH4" s="13">
        <v>45</v>
      </c>
      <c r="EI4" s="13">
        <v>45</v>
      </c>
      <c r="EJ4" s="13">
        <v>45</v>
      </c>
      <c r="EK4" s="13">
        <v>45</v>
      </c>
      <c r="EL4" s="13">
        <v>45</v>
      </c>
      <c r="EM4" s="13">
        <v>45</v>
      </c>
      <c r="EN4" s="13">
        <v>45</v>
      </c>
      <c r="EO4" s="13">
        <v>45</v>
      </c>
      <c r="EP4" s="13">
        <v>45</v>
      </c>
      <c r="EQ4" s="13">
        <v>45</v>
      </c>
      <c r="ER4" s="13">
        <v>45</v>
      </c>
      <c r="ES4" s="13">
        <v>45</v>
      </c>
      <c r="ET4" s="13">
        <v>45</v>
      </c>
      <c r="EU4" s="13">
        <v>45</v>
      </c>
      <c r="EV4" s="13">
        <v>45</v>
      </c>
      <c r="EW4" s="13">
        <v>45</v>
      </c>
      <c r="EX4" s="13">
        <v>45</v>
      </c>
      <c r="EY4" s="13">
        <v>45</v>
      </c>
      <c r="EZ4" s="13">
        <v>45</v>
      </c>
      <c r="FA4" s="13">
        <v>45</v>
      </c>
      <c r="FB4" s="13">
        <v>45</v>
      </c>
      <c r="FC4" s="13">
        <v>45</v>
      </c>
      <c r="FD4" s="13">
        <v>45</v>
      </c>
      <c r="FE4" s="13">
        <v>45</v>
      </c>
      <c r="FF4" s="13">
        <v>45</v>
      </c>
      <c r="FG4" s="13">
        <v>45</v>
      </c>
      <c r="FH4" s="13">
        <v>45</v>
      </c>
      <c r="FI4" s="13">
        <v>45</v>
      </c>
      <c r="FJ4" s="13">
        <v>45</v>
      </c>
      <c r="FK4" s="13">
        <v>45</v>
      </c>
      <c r="FL4" s="13">
        <v>45</v>
      </c>
      <c r="FM4" s="13">
        <v>45</v>
      </c>
      <c r="FN4" s="13">
        <v>45</v>
      </c>
      <c r="FO4" s="13">
        <v>45</v>
      </c>
      <c r="FP4" s="13">
        <v>45</v>
      </c>
      <c r="FQ4" s="13">
        <v>45</v>
      </c>
      <c r="FR4" s="13">
        <v>45</v>
      </c>
      <c r="FS4" s="13">
        <v>45</v>
      </c>
      <c r="FT4" s="13">
        <v>45</v>
      </c>
      <c r="FU4" s="13">
        <v>45</v>
      </c>
      <c r="FV4" s="13">
        <v>45</v>
      </c>
      <c r="FW4" s="13">
        <v>45</v>
      </c>
      <c r="FX4" s="13">
        <v>45</v>
      </c>
      <c r="FY4" s="13">
        <v>45</v>
      </c>
      <c r="FZ4" s="13">
        <v>45</v>
      </c>
      <c r="GA4" s="13">
        <v>45</v>
      </c>
      <c r="GB4" s="13">
        <v>45</v>
      </c>
      <c r="GC4" s="13">
        <v>45</v>
      </c>
      <c r="GD4" s="13">
        <v>45</v>
      </c>
      <c r="GE4" s="13">
        <v>45</v>
      </c>
      <c r="GF4" s="13">
        <v>45</v>
      </c>
      <c r="GG4" s="13">
        <v>45</v>
      </c>
      <c r="GH4" s="13">
        <v>45</v>
      </c>
      <c r="GI4" s="13">
        <v>45</v>
      </c>
      <c r="GJ4" s="13">
        <v>45</v>
      </c>
      <c r="GK4" s="13">
        <v>45</v>
      </c>
      <c r="GL4" s="13">
        <v>45</v>
      </c>
      <c r="GM4" s="13">
        <v>45</v>
      </c>
      <c r="GN4" s="13">
        <v>45</v>
      </c>
      <c r="GO4" s="13">
        <v>45</v>
      </c>
      <c r="GP4" s="13">
        <v>45</v>
      </c>
      <c r="GQ4" s="13">
        <v>45</v>
      </c>
      <c r="GR4" s="13">
        <v>45</v>
      </c>
      <c r="GS4" s="13">
        <v>45</v>
      </c>
      <c r="GT4" s="13">
        <v>45</v>
      </c>
      <c r="GU4" s="13">
        <v>45</v>
      </c>
      <c r="GV4" s="13">
        <v>45</v>
      </c>
      <c r="GW4" s="13">
        <v>45</v>
      </c>
      <c r="GX4" s="13">
        <v>45</v>
      </c>
      <c r="GY4" s="13">
        <v>45</v>
      </c>
      <c r="GZ4" s="13">
        <v>45</v>
      </c>
      <c r="HA4" s="13">
        <v>45</v>
      </c>
      <c r="HB4" s="13">
        <v>45</v>
      </c>
      <c r="HC4" s="13">
        <v>45</v>
      </c>
      <c r="HD4" s="13">
        <v>45</v>
      </c>
      <c r="HE4" s="13">
        <v>45</v>
      </c>
      <c r="HF4" s="13">
        <v>45</v>
      </c>
      <c r="HG4" s="13">
        <v>45</v>
      </c>
      <c r="HH4" s="13">
        <v>45</v>
      </c>
      <c r="HI4" s="13">
        <v>45</v>
      </c>
      <c r="HJ4" s="13">
        <v>45</v>
      </c>
      <c r="HK4" s="13">
        <v>45</v>
      </c>
      <c r="HL4" s="13">
        <v>45</v>
      </c>
      <c r="HM4" s="13">
        <v>45</v>
      </c>
      <c r="HN4" s="13">
        <v>45</v>
      </c>
      <c r="HO4" s="13">
        <v>45</v>
      </c>
      <c r="HP4" s="13">
        <v>45</v>
      </c>
      <c r="HQ4" s="13">
        <v>45</v>
      </c>
      <c r="HR4" s="13">
        <v>45</v>
      </c>
      <c r="HS4" s="13">
        <v>45</v>
      </c>
      <c r="HT4" s="13">
        <v>45</v>
      </c>
      <c r="HU4" s="13">
        <v>45</v>
      </c>
      <c r="HV4" s="13">
        <v>45</v>
      </c>
      <c r="HW4" s="13">
        <v>45</v>
      </c>
      <c r="HX4" s="13">
        <v>45</v>
      </c>
      <c r="HY4" s="13">
        <v>45</v>
      </c>
      <c r="HZ4" s="13">
        <v>45</v>
      </c>
      <c r="IA4" s="13">
        <v>45</v>
      </c>
      <c r="IB4" s="13">
        <v>45</v>
      </c>
      <c r="IC4" s="13">
        <v>45</v>
      </c>
      <c r="ID4" s="13">
        <v>45</v>
      </c>
      <c r="IE4" s="13">
        <v>45</v>
      </c>
      <c r="IF4" s="13">
        <v>45</v>
      </c>
      <c r="IG4" s="13">
        <v>45</v>
      </c>
      <c r="IH4" s="13">
        <v>45</v>
      </c>
      <c r="II4" s="13">
        <v>45</v>
      </c>
      <c r="IJ4" s="13">
        <v>45</v>
      </c>
      <c r="IK4" s="13">
        <v>45</v>
      </c>
      <c r="IL4" s="13">
        <v>45</v>
      </c>
      <c r="IM4" s="13">
        <v>45</v>
      </c>
      <c r="IN4" s="13">
        <v>45</v>
      </c>
      <c r="IO4" s="13">
        <v>45</v>
      </c>
      <c r="IP4" s="13">
        <v>45</v>
      </c>
      <c r="IQ4" s="13">
        <v>45</v>
      </c>
      <c r="IR4" s="13">
        <v>45</v>
      </c>
      <c r="IS4" s="13">
        <v>45</v>
      </c>
      <c r="IT4" s="13">
        <v>45</v>
      </c>
      <c r="IU4" s="13">
        <v>45</v>
      </c>
      <c r="IV4" s="13">
        <v>45</v>
      </c>
      <c r="IW4" s="13">
        <v>45</v>
      </c>
      <c r="IX4" s="13">
        <v>45</v>
      </c>
      <c r="IY4" s="13">
        <v>45</v>
      </c>
      <c r="IZ4" s="13">
        <v>45</v>
      </c>
      <c r="JA4" s="13">
        <v>45</v>
      </c>
      <c r="JB4" s="13">
        <v>45</v>
      </c>
      <c r="JC4" s="13">
        <v>45</v>
      </c>
      <c r="JD4" s="13">
        <v>45</v>
      </c>
      <c r="JE4" s="13">
        <v>45</v>
      </c>
      <c r="JF4" s="13">
        <v>45</v>
      </c>
      <c r="JG4" s="13">
        <v>45</v>
      </c>
      <c r="JH4" s="13">
        <v>45</v>
      </c>
      <c r="JI4" s="13">
        <v>45</v>
      </c>
      <c r="JJ4" s="13">
        <v>45</v>
      </c>
      <c r="JK4" s="13">
        <v>45</v>
      </c>
      <c r="JL4" s="13">
        <v>45</v>
      </c>
      <c r="JM4" s="13">
        <v>45</v>
      </c>
      <c r="JN4" s="13">
        <v>45</v>
      </c>
      <c r="JO4" s="13">
        <v>45</v>
      </c>
      <c r="JP4" s="13">
        <v>45</v>
      </c>
      <c r="JQ4" s="13">
        <v>45</v>
      </c>
      <c r="JR4" s="13">
        <v>45</v>
      </c>
      <c r="JS4" s="13">
        <v>45</v>
      </c>
      <c r="JT4" s="13">
        <v>45</v>
      </c>
      <c r="JU4" s="13">
        <v>45</v>
      </c>
      <c r="JV4" s="13">
        <v>45</v>
      </c>
      <c r="JW4" s="13">
        <v>45</v>
      </c>
      <c r="JX4" s="13">
        <v>45</v>
      </c>
      <c r="JY4" s="13">
        <v>45</v>
      </c>
      <c r="JZ4" s="13">
        <v>45</v>
      </c>
      <c r="KA4" s="13">
        <v>45</v>
      </c>
      <c r="KB4" s="13">
        <v>45</v>
      </c>
      <c r="KC4" s="13">
        <v>45</v>
      </c>
      <c r="KD4" s="13">
        <v>45</v>
      </c>
      <c r="KE4" s="13">
        <v>45</v>
      </c>
      <c r="KF4" s="13">
        <v>45</v>
      </c>
      <c r="KG4" s="13">
        <v>45</v>
      </c>
      <c r="KH4" s="13">
        <v>45</v>
      </c>
      <c r="KI4" s="13">
        <v>45</v>
      </c>
      <c r="KJ4" s="13">
        <v>45</v>
      </c>
      <c r="KK4" s="13">
        <v>45</v>
      </c>
      <c r="KL4" s="13">
        <v>45</v>
      </c>
      <c r="KM4" s="13">
        <v>45</v>
      </c>
      <c r="KN4" s="13">
        <v>45</v>
      </c>
      <c r="KO4" s="13">
        <v>45</v>
      </c>
      <c r="KP4" s="13">
        <v>45</v>
      </c>
      <c r="KQ4" s="13">
        <v>45</v>
      </c>
      <c r="KR4" s="13">
        <v>45</v>
      </c>
      <c r="KS4" s="13">
        <v>45</v>
      </c>
      <c r="KT4" s="13">
        <v>45</v>
      </c>
      <c r="KU4" s="13">
        <v>45</v>
      </c>
      <c r="KV4" s="13">
        <v>45</v>
      </c>
      <c r="KW4" s="13">
        <v>45</v>
      </c>
      <c r="KX4" s="13">
        <v>45</v>
      </c>
      <c r="KY4" s="13">
        <v>45</v>
      </c>
      <c r="KZ4" s="13">
        <v>45</v>
      </c>
      <c r="LA4" s="13">
        <v>45</v>
      </c>
      <c r="LB4" s="13">
        <v>45</v>
      </c>
      <c r="LC4" s="13">
        <v>45</v>
      </c>
      <c r="LD4" s="13">
        <v>45</v>
      </c>
      <c r="LE4" s="13">
        <v>45</v>
      </c>
      <c r="LF4" s="13">
        <v>45</v>
      </c>
      <c r="LG4" s="13">
        <v>45</v>
      </c>
      <c r="LH4" s="13">
        <v>45</v>
      </c>
      <c r="LI4" s="13">
        <v>45</v>
      </c>
      <c r="LJ4" s="13">
        <v>45</v>
      </c>
      <c r="LK4" s="13">
        <v>45</v>
      </c>
      <c r="LL4" s="13">
        <v>45</v>
      </c>
      <c r="LM4" s="13">
        <v>45</v>
      </c>
      <c r="LN4" s="13">
        <v>45</v>
      </c>
      <c r="LO4" s="13">
        <v>45</v>
      </c>
      <c r="LP4" s="13">
        <v>45</v>
      </c>
      <c r="LQ4" s="13">
        <v>45</v>
      </c>
      <c r="LR4" s="13">
        <v>45</v>
      </c>
      <c r="LS4" s="13">
        <v>45</v>
      </c>
      <c r="LT4" s="13">
        <v>45</v>
      </c>
      <c r="LU4" s="13">
        <v>45</v>
      </c>
      <c r="LV4" s="13">
        <v>45</v>
      </c>
      <c r="LW4" s="13">
        <v>45</v>
      </c>
      <c r="LX4" s="13">
        <v>45</v>
      </c>
      <c r="LY4" s="13">
        <v>45</v>
      </c>
      <c r="LZ4" s="13">
        <v>45</v>
      </c>
      <c r="MA4" s="13">
        <v>45</v>
      </c>
      <c r="MB4" s="13">
        <v>45</v>
      </c>
      <c r="MC4" s="13">
        <v>45</v>
      </c>
      <c r="MD4" s="13">
        <v>45</v>
      </c>
      <c r="ME4" s="13">
        <v>45</v>
      </c>
      <c r="MF4" s="13">
        <v>45</v>
      </c>
      <c r="MG4" s="13">
        <v>45</v>
      </c>
      <c r="MH4" s="13">
        <v>45</v>
      </c>
      <c r="MI4" s="13">
        <v>45</v>
      </c>
      <c r="MJ4" s="13">
        <v>45</v>
      </c>
      <c r="MK4" s="13">
        <v>45</v>
      </c>
      <c r="ML4" s="13">
        <v>45</v>
      </c>
      <c r="MM4" s="13">
        <v>45</v>
      </c>
      <c r="MN4" s="13">
        <v>45</v>
      </c>
      <c r="MO4" s="13">
        <v>45</v>
      </c>
      <c r="MP4" s="13">
        <v>45</v>
      </c>
      <c r="MQ4" s="13">
        <v>45</v>
      </c>
      <c r="MR4" s="13">
        <v>45</v>
      </c>
      <c r="MS4" s="13">
        <v>45</v>
      </c>
      <c r="MT4" s="13">
        <v>45</v>
      </c>
      <c r="MU4" s="13">
        <v>45</v>
      </c>
      <c r="MV4" s="13">
        <v>45</v>
      </c>
      <c r="MW4" s="13">
        <v>45</v>
      </c>
      <c r="MX4" s="13">
        <v>45</v>
      </c>
      <c r="MY4" s="13">
        <v>45</v>
      </c>
      <c r="MZ4" s="13">
        <v>45</v>
      </c>
      <c r="NA4" s="13">
        <v>45</v>
      </c>
      <c r="NB4" s="13">
        <v>45</v>
      </c>
      <c r="NC4" s="13">
        <v>45</v>
      </c>
      <c r="ND4" s="13">
        <v>45</v>
      </c>
    </row>
    <row r="5" spans="1:368" x14ac:dyDescent="0.3">
      <c r="B5" s="2" t="s">
        <v>143</v>
      </c>
      <c r="E5" s="2" t="s">
        <v>144</v>
      </c>
      <c r="H5" s="2" t="s">
        <v>620</v>
      </c>
      <c r="I5" s="2" t="s">
        <v>621</v>
      </c>
      <c r="N5"/>
      <c r="O5"/>
      <c r="P5"/>
      <c r="V5" s="2" t="s">
        <v>27</v>
      </c>
      <c r="W5" s="2">
        <v>1141</v>
      </c>
      <c r="X5" s="2">
        <v>71</v>
      </c>
      <c r="Y5" s="10" t="str">
        <f t="shared" ref="Y5:Y13" si="0">V5</f>
        <v>Duplication</v>
      </c>
      <c r="Z5" s="11">
        <f>1-AB5</f>
        <v>9.9999999999999978E-2</v>
      </c>
      <c r="AA5" s="17">
        <f>GETPIVOTDATA("Somme de Nombre des défauts",$V$3,"Statu","Duplication")/R4</f>
        <v>0.16666666666666666</v>
      </c>
      <c r="AB5" s="12">
        <v>0.9</v>
      </c>
      <c r="AC5" s="17">
        <f>1-AA5</f>
        <v>0.83333333333333337</v>
      </c>
      <c r="AL5" s="48" t="s">
        <v>431</v>
      </c>
      <c r="AM5" s="11">
        <v>0.06</v>
      </c>
      <c r="AN5" s="11">
        <v>0.06</v>
      </c>
      <c r="AO5" s="11">
        <v>0.06</v>
      </c>
      <c r="AP5" s="11">
        <v>0.06</v>
      </c>
      <c r="AQ5" s="11">
        <v>0.06</v>
      </c>
      <c r="AR5" s="11">
        <v>0.06</v>
      </c>
      <c r="AS5" s="11">
        <v>0.06</v>
      </c>
      <c r="AT5" s="11">
        <v>0.06</v>
      </c>
      <c r="AU5" s="11">
        <v>0.06</v>
      </c>
      <c r="AV5" s="11">
        <v>0.06</v>
      </c>
      <c r="AW5" s="11">
        <v>0.06</v>
      </c>
      <c r="AX5" s="11">
        <v>0.06</v>
      </c>
      <c r="AY5" s="11">
        <v>0.06</v>
      </c>
      <c r="AZ5" s="11">
        <v>0.06</v>
      </c>
      <c r="BA5" s="11">
        <v>0.06</v>
      </c>
      <c r="BB5" s="11">
        <v>0.06</v>
      </c>
      <c r="BC5" s="11">
        <v>0.06</v>
      </c>
      <c r="BD5" s="11">
        <v>0.06</v>
      </c>
      <c r="BE5" s="11">
        <v>0.06</v>
      </c>
      <c r="BF5" s="11">
        <v>0.06</v>
      </c>
      <c r="BG5" s="11">
        <v>0.06</v>
      </c>
      <c r="BH5" s="11">
        <v>0.06</v>
      </c>
      <c r="BI5" s="11">
        <v>0.06</v>
      </c>
      <c r="BJ5" s="11">
        <v>0.06</v>
      </c>
      <c r="BK5" s="11">
        <v>0.06</v>
      </c>
      <c r="BL5" s="11">
        <v>0.06</v>
      </c>
      <c r="BM5" s="11">
        <v>0.06</v>
      </c>
      <c r="BN5" s="11">
        <v>0.06</v>
      </c>
      <c r="BO5" s="11">
        <v>0.06</v>
      </c>
      <c r="BP5" s="11">
        <v>0.06</v>
      </c>
      <c r="BQ5" s="11">
        <v>0.06</v>
      </c>
      <c r="BR5" s="11">
        <v>0.06</v>
      </c>
      <c r="BS5" s="11">
        <v>0.06</v>
      </c>
      <c r="BT5" s="11">
        <v>0.06</v>
      </c>
      <c r="BU5" s="11">
        <v>0.06</v>
      </c>
      <c r="BV5" s="11">
        <v>0.06</v>
      </c>
      <c r="BW5" s="11">
        <v>0.06</v>
      </c>
      <c r="BX5" s="11">
        <v>0.06</v>
      </c>
      <c r="BY5" s="11">
        <v>0.06</v>
      </c>
      <c r="BZ5" s="11">
        <v>0.06</v>
      </c>
      <c r="CA5" s="11">
        <v>0.06</v>
      </c>
      <c r="CB5" s="11">
        <v>0.06</v>
      </c>
      <c r="CC5" s="11">
        <v>0.06</v>
      </c>
      <c r="CD5" s="11">
        <v>0.06</v>
      </c>
      <c r="CE5" s="11">
        <v>0.06</v>
      </c>
      <c r="CF5" s="11">
        <v>0.06</v>
      </c>
      <c r="CG5" s="11">
        <v>0.06</v>
      </c>
      <c r="CH5" s="11">
        <v>0.06</v>
      </c>
      <c r="CI5" s="11">
        <v>0.06</v>
      </c>
      <c r="CJ5" s="11">
        <v>0.06</v>
      </c>
      <c r="CK5" s="11">
        <v>0.06</v>
      </c>
      <c r="CL5" s="11">
        <v>0.06</v>
      </c>
      <c r="CM5" s="11">
        <v>0.06</v>
      </c>
      <c r="CN5" s="11">
        <v>0.06</v>
      </c>
      <c r="CO5" s="11">
        <v>0.06</v>
      </c>
      <c r="CP5" s="11">
        <v>0.06</v>
      </c>
      <c r="CQ5" s="11">
        <v>0.06</v>
      </c>
      <c r="CR5" s="11">
        <v>0.06</v>
      </c>
      <c r="CS5" s="11">
        <v>0.06</v>
      </c>
      <c r="CT5" s="11">
        <v>0.06</v>
      </c>
      <c r="CU5" s="11">
        <v>0.06</v>
      </c>
      <c r="CV5" s="11">
        <v>0.06</v>
      </c>
      <c r="CW5" s="11">
        <v>0.06</v>
      </c>
      <c r="CX5" s="11">
        <v>0.06</v>
      </c>
      <c r="CY5" s="11">
        <v>0.06</v>
      </c>
      <c r="CZ5" s="11">
        <v>0.06</v>
      </c>
      <c r="DA5" s="11">
        <v>0.06</v>
      </c>
      <c r="DB5" s="11">
        <v>0.06</v>
      </c>
      <c r="DC5" s="11">
        <v>0.06</v>
      </c>
      <c r="DD5" s="11">
        <v>0.06</v>
      </c>
      <c r="DE5" s="11">
        <v>0.06</v>
      </c>
      <c r="DF5" s="11">
        <v>0.06</v>
      </c>
      <c r="DG5" s="11">
        <v>0.06</v>
      </c>
      <c r="DH5" s="11">
        <v>0.06</v>
      </c>
      <c r="DI5" s="11">
        <v>0.06</v>
      </c>
      <c r="DJ5" s="11">
        <v>0.06</v>
      </c>
      <c r="DK5" s="11">
        <v>0.06</v>
      </c>
      <c r="DL5" s="11">
        <v>0.06</v>
      </c>
      <c r="DM5" s="11">
        <v>0.06</v>
      </c>
      <c r="DN5" s="11">
        <v>0.06</v>
      </c>
      <c r="DO5" s="11">
        <v>0.06</v>
      </c>
      <c r="DP5" s="11">
        <v>0.06</v>
      </c>
      <c r="DQ5" s="11">
        <v>0.06</v>
      </c>
      <c r="DR5" s="11">
        <v>0.06</v>
      </c>
      <c r="DS5" s="11">
        <v>0.06</v>
      </c>
      <c r="DT5" s="11">
        <v>0.06</v>
      </c>
      <c r="DU5" s="11">
        <v>0.06</v>
      </c>
      <c r="DV5" s="11">
        <v>0.06</v>
      </c>
      <c r="DW5" s="11">
        <v>0.06</v>
      </c>
      <c r="DX5" s="11">
        <v>0.06</v>
      </c>
      <c r="DY5" s="11">
        <v>0.06</v>
      </c>
      <c r="DZ5" s="11">
        <v>0.06</v>
      </c>
      <c r="EA5" s="11">
        <v>0.06</v>
      </c>
      <c r="EB5" s="11">
        <v>0.06</v>
      </c>
      <c r="EC5" s="11">
        <v>0.06</v>
      </c>
      <c r="ED5" s="11">
        <v>0.06</v>
      </c>
      <c r="EE5" s="11">
        <v>0.06</v>
      </c>
      <c r="EF5" s="11">
        <v>0.06</v>
      </c>
      <c r="EG5" s="11">
        <v>0.06</v>
      </c>
      <c r="EH5" s="11">
        <v>0.06</v>
      </c>
      <c r="EI5" s="11">
        <v>0.06</v>
      </c>
      <c r="EJ5" s="11">
        <v>0.06</v>
      </c>
      <c r="EK5" s="11">
        <v>0.06</v>
      </c>
      <c r="EL5" s="11">
        <v>0.06</v>
      </c>
      <c r="EM5" s="11">
        <v>0.06</v>
      </c>
      <c r="EN5" s="11">
        <v>0.06</v>
      </c>
      <c r="EO5" s="11">
        <v>0.06</v>
      </c>
      <c r="EP5" s="11">
        <v>0.06</v>
      </c>
      <c r="EQ5" s="11">
        <v>0.06</v>
      </c>
      <c r="ER5" s="11">
        <v>0.06</v>
      </c>
      <c r="ES5" s="11">
        <v>0.06</v>
      </c>
      <c r="ET5" s="11">
        <v>0.06</v>
      </c>
      <c r="EU5" s="11">
        <v>0.06</v>
      </c>
      <c r="EV5" s="11">
        <v>0.06</v>
      </c>
      <c r="EW5" s="11">
        <v>0.06</v>
      </c>
      <c r="EX5" s="11">
        <v>0.06</v>
      </c>
      <c r="EY5" s="11">
        <v>0.06</v>
      </c>
      <c r="EZ5" s="11">
        <v>0.06</v>
      </c>
      <c r="FA5" s="11">
        <v>0.06</v>
      </c>
      <c r="FB5" s="11">
        <v>0.06</v>
      </c>
      <c r="FC5" s="11">
        <v>0.06</v>
      </c>
      <c r="FD5" s="11">
        <v>0.06</v>
      </c>
      <c r="FE5" s="11">
        <v>0.06</v>
      </c>
      <c r="FF5" s="11">
        <v>0.06</v>
      </c>
      <c r="FG5" s="11">
        <v>0.06</v>
      </c>
      <c r="FH5" s="11">
        <v>0.06</v>
      </c>
      <c r="FI5" s="11">
        <v>0.06</v>
      </c>
      <c r="FJ5" s="11">
        <v>0.06</v>
      </c>
      <c r="FK5" s="11">
        <v>0.06</v>
      </c>
      <c r="FL5" s="11">
        <v>0.06</v>
      </c>
      <c r="FM5" s="11">
        <v>0.06</v>
      </c>
      <c r="FN5" s="11">
        <v>0.06</v>
      </c>
      <c r="FO5" s="11">
        <v>0.06</v>
      </c>
      <c r="FP5" s="11">
        <v>0.06</v>
      </c>
      <c r="FQ5" s="11">
        <v>0.06</v>
      </c>
      <c r="FR5" s="11">
        <v>0.06</v>
      </c>
      <c r="FS5" s="11">
        <v>0.06</v>
      </c>
      <c r="FT5" s="11">
        <v>0.06</v>
      </c>
      <c r="FU5" s="11">
        <v>0.06</v>
      </c>
      <c r="FV5" s="11">
        <v>0.06</v>
      </c>
      <c r="FW5" s="11">
        <v>0.06</v>
      </c>
      <c r="FX5" s="11">
        <v>0.06</v>
      </c>
      <c r="FY5" s="11">
        <v>0.06</v>
      </c>
      <c r="FZ5" s="11">
        <v>0.06</v>
      </c>
      <c r="GA5" s="11">
        <v>0.06</v>
      </c>
      <c r="GB5" s="11">
        <v>0.06</v>
      </c>
      <c r="GC5" s="11">
        <v>0.06</v>
      </c>
      <c r="GD5" s="11">
        <v>0.06</v>
      </c>
      <c r="GE5" s="11">
        <v>0.06</v>
      </c>
      <c r="GF5" s="11">
        <v>0.06</v>
      </c>
      <c r="GG5" s="11">
        <v>0.06</v>
      </c>
      <c r="GH5" s="11">
        <v>0.06</v>
      </c>
      <c r="GI5" s="11">
        <v>0.06</v>
      </c>
      <c r="GJ5" s="11">
        <v>0.06</v>
      </c>
      <c r="GK5" s="11">
        <v>0.06</v>
      </c>
      <c r="GL5" s="11">
        <v>0.06</v>
      </c>
      <c r="GM5" s="11">
        <v>0.06</v>
      </c>
      <c r="GN5" s="11">
        <v>0.06</v>
      </c>
      <c r="GO5" s="11">
        <v>0.06</v>
      </c>
      <c r="GP5" s="11">
        <v>0.06</v>
      </c>
      <c r="GQ5" s="11">
        <v>0.06</v>
      </c>
      <c r="GR5" s="11">
        <v>0.06</v>
      </c>
      <c r="GS5" s="11">
        <v>0.06</v>
      </c>
      <c r="GT5" s="11">
        <v>0.06</v>
      </c>
      <c r="GU5" s="11">
        <v>0.06</v>
      </c>
      <c r="GV5" s="11">
        <v>0.06</v>
      </c>
      <c r="GW5" s="11">
        <v>0.06</v>
      </c>
      <c r="GX5" s="11">
        <v>0.06</v>
      </c>
      <c r="GY5" s="11">
        <v>0.06</v>
      </c>
      <c r="GZ5" s="11">
        <v>0.06</v>
      </c>
      <c r="HA5" s="11">
        <v>0.06</v>
      </c>
      <c r="HB5" s="11">
        <v>0.06</v>
      </c>
      <c r="HC5" s="11">
        <v>0.06</v>
      </c>
      <c r="HD5" s="11">
        <v>0.06</v>
      </c>
      <c r="HE5" s="11">
        <v>0.06</v>
      </c>
      <c r="HF5" s="11">
        <v>0.06</v>
      </c>
      <c r="HG5" s="11">
        <v>0.06</v>
      </c>
      <c r="HH5" s="11">
        <v>0.06</v>
      </c>
      <c r="HI5" s="11">
        <v>0.06</v>
      </c>
      <c r="HJ5" s="11">
        <v>0.06</v>
      </c>
      <c r="HK5" s="11">
        <v>0.06</v>
      </c>
      <c r="HL5" s="11">
        <v>0.06</v>
      </c>
      <c r="HM5" s="11">
        <v>0.06</v>
      </c>
      <c r="HN5" s="11">
        <v>0.06</v>
      </c>
      <c r="HO5" s="11">
        <v>0.06</v>
      </c>
      <c r="HP5" s="11">
        <v>0.06</v>
      </c>
      <c r="HQ5" s="11">
        <v>0.06</v>
      </c>
      <c r="HR5" s="11">
        <v>0.06</v>
      </c>
      <c r="HS5" s="11">
        <v>0.06</v>
      </c>
      <c r="HT5" s="11">
        <v>0.06</v>
      </c>
      <c r="HU5" s="11">
        <v>0.06</v>
      </c>
      <c r="HV5" s="11">
        <v>0.06</v>
      </c>
      <c r="HW5" s="11">
        <v>0.06</v>
      </c>
      <c r="HX5" s="11">
        <v>0.06</v>
      </c>
      <c r="HY5" s="11">
        <v>0.06</v>
      </c>
      <c r="HZ5" s="11">
        <v>0.06</v>
      </c>
      <c r="IA5" s="11">
        <v>0.06</v>
      </c>
      <c r="IB5" s="11">
        <v>0.06</v>
      </c>
      <c r="IC5" s="11">
        <v>0.06</v>
      </c>
      <c r="ID5" s="11">
        <v>0.06</v>
      </c>
      <c r="IE5" s="11">
        <v>0.06</v>
      </c>
      <c r="IF5" s="11">
        <v>0.06</v>
      </c>
      <c r="IG5" s="11">
        <v>0.06</v>
      </c>
      <c r="IH5" s="11">
        <v>0.06</v>
      </c>
      <c r="II5" s="11">
        <v>0.06</v>
      </c>
      <c r="IJ5" s="11">
        <v>0.06</v>
      </c>
      <c r="IK5" s="11">
        <v>0.06</v>
      </c>
      <c r="IL5" s="11">
        <v>0.06</v>
      </c>
      <c r="IM5" s="11">
        <v>0.06</v>
      </c>
      <c r="IN5" s="11">
        <v>0.06</v>
      </c>
      <c r="IO5" s="11">
        <v>0.06</v>
      </c>
      <c r="IP5" s="11">
        <v>0.06</v>
      </c>
      <c r="IQ5" s="11">
        <v>0.06</v>
      </c>
      <c r="IR5" s="11">
        <v>0.06</v>
      </c>
      <c r="IS5" s="11">
        <v>0.06</v>
      </c>
      <c r="IT5" s="11">
        <v>0.06</v>
      </c>
      <c r="IU5" s="11">
        <v>0.06</v>
      </c>
      <c r="IV5" s="11">
        <v>0.06</v>
      </c>
      <c r="IW5" s="11">
        <v>0.06</v>
      </c>
      <c r="IX5" s="11">
        <v>0.06</v>
      </c>
      <c r="IY5" s="11">
        <v>0.06</v>
      </c>
      <c r="IZ5" s="11">
        <v>0.06</v>
      </c>
      <c r="JA5" s="11">
        <v>0.06</v>
      </c>
      <c r="JB5" s="11">
        <v>0.06</v>
      </c>
      <c r="JC5" s="11">
        <v>0.06</v>
      </c>
      <c r="JD5" s="11">
        <v>0.06</v>
      </c>
      <c r="JE5" s="11">
        <v>0.06</v>
      </c>
      <c r="JF5" s="11">
        <v>0.06</v>
      </c>
      <c r="JG5" s="11">
        <v>0.06</v>
      </c>
      <c r="JH5" s="11">
        <v>0.06</v>
      </c>
      <c r="JI5" s="11">
        <v>0.06</v>
      </c>
      <c r="JJ5" s="11">
        <v>0.06</v>
      </c>
      <c r="JK5" s="11">
        <v>0.06</v>
      </c>
      <c r="JL5" s="11">
        <v>0.06</v>
      </c>
      <c r="JM5" s="11">
        <v>0.06</v>
      </c>
      <c r="JN5" s="11">
        <v>0.06</v>
      </c>
      <c r="JO5" s="11">
        <v>0.06</v>
      </c>
      <c r="JP5" s="11">
        <v>0.06</v>
      </c>
      <c r="JQ5" s="11">
        <v>0.06</v>
      </c>
      <c r="JR5" s="11">
        <v>0.06</v>
      </c>
      <c r="JS5" s="11">
        <v>0.06</v>
      </c>
      <c r="JT5" s="11">
        <v>0.06</v>
      </c>
      <c r="JU5" s="11">
        <v>0.06</v>
      </c>
      <c r="JV5" s="11">
        <v>0.06</v>
      </c>
      <c r="JW5" s="11">
        <v>0.06</v>
      </c>
      <c r="JX5" s="11">
        <v>0.06</v>
      </c>
      <c r="JY5" s="11">
        <v>0.06</v>
      </c>
      <c r="JZ5" s="11">
        <v>0.06</v>
      </c>
      <c r="KA5" s="11">
        <v>0.06</v>
      </c>
      <c r="KB5" s="11">
        <v>0.06</v>
      </c>
      <c r="KC5" s="11">
        <v>0.06</v>
      </c>
      <c r="KD5" s="11">
        <v>0.06</v>
      </c>
      <c r="KE5" s="11">
        <v>0.06</v>
      </c>
      <c r="KF5" s="11">
        <v>0.06</v>
      </c>
      <c r="KG5" s="11">
        <v>0.06</v>
      </c>
      <c r="KH5" s="11">
        <v>0.06</v>
      </c>
      <c r="KI5" s="11">
        <v>0.06</v>
      </c>
      <c r="KJ5" s="11">
        <v>0.06</v>
      </c>
      <c r="KK5" s="11">
        <v>0.06</v>
      </c>
      <c r="KL5" s="11">
        <v>0.06</v>
      </c>
      <c r="KM5" s="11">
        <v>0.06</v>
      </c>
      <c r="KN5" s="11">
        <v>0.06</v>
      </c>
      <c r="KO5" s="11">
        <v>0.06</v>
      </c>
      <c r="KP5" s="11">
        <v>0.06</v>
      </c>
      <c r="KQ5" s="11">
        <v>0.06</v>
      </c>
      <c r="KR5" s="11">
        <v>0.06</v>
      </c>
      <c r="KS5" s="11">
        <v>0.06</v>
      </c>
      <c r="KT5" s="11">
        <v>0.06</v>
      </c>
      <c r="KU5" s="11">
        <v>0.06</v>
      </c>
      <c r="KV5" s="11">
        <v>0.06</v>
      </c>
      <c r="KW5" s="11">
        <v>0.06</v>
      </c>
      <c r="KX5" s="11">
        <v>0.06</v>
      </c>
      <c r="KY5" s="11">
        <v>0.06</v>
      </c>
      <c r="KZ5" s="11">
        <v>0.06</v>
      </c>
      <c r="LA5" s="11">
        <v>0.06</v>
      </c>
      <c r="LB5" s="11">
        <v>0.06</v>
      </c>
      <c r="LC5" s="11">
        <v>0.06</v>
      </c>
      <c r="LD5" s="11">
        <v>0.06</v>
      </c>
      <c r="LE5" s="11">
        <v>0.06</v>
      </c>
      <c r="LF5" s="11">
        <v>0.06</v>
      </c>
      <c r="LG5" s="11">
        <v>0.06</v>
      </c>
      <c r="LH5" s="11">
        <v>0.06</v>
      </c>
      <c r="LI5" s="11">
        <v>0.06</v>
      </c>
      <c r="LJ5" s="11">
        <v>0.06</v>
      </c>
      <c r="LK5" s="11">
        <v>0.06</v>
      </c>
      <c r="LL5" s="11">
        <v>0.06</v>
      </c>
      <c r="LM5" s="11">
        <v>0.06</v>
      </c>
      <c r="LN5" s="11">
        <v>0.06</v>
      </c>
      <c r="LO5" s="11">
        <v>0.06</v>
      </c>
      <c r="LP5" s="11">
        <v>0.06</v>
      </c>
      <c r="LQ5" s="11">
        <v>0.06</v>
      </c>
      <c r="LR5" s="11">
        <v>0.06</v>
      </c>
      <c r="LS5" s="11">
        <v>0.06</v>
      </c>
      <c r="LT5" s="11">
        <v>0.06</v>
      </c>
      <c r="LU5" s="11">
        <v>0.06</v>
      </c>
      <c r="LV5" s="11">
        <v>0.06</v>
      </c>
      <c r="LW5" s="11">
        <v>0.06</v>
      </c>
      <c r="LX5" s="11">
        <v>0.06</v>
      </c>
      <c r="LY5" s="11">
        <v>0.06</v>
      </c>
      <c r="LZ5" s="11">
        <v>0.06</v>
      </c>
      <c r="MA5" s="11">
        <v>0.06</v>
      </c>
      <c r="MB5" s="11">
        <v>0.06</v>
      </c>
      <c r="MC5" s="11">
        <v>0.06</v>
      </c>
      <c r="MD5" s="11">
        <v>0.06</v>
      </c>
      <c r="ME5" s="11">
        <v>0.06</v>
      </c>
      <c r="MF5" s="11">
        <v>0.06</v>
      </c>
      <c r="MG5" s="11">
        <v>0.06</v>
      </c>
      <c r="MH5" s="11">
        <v>0.06</v>
      </c>
      <c r="MI5" s="11">
        <v>0.06</v>
      </c>
      <c r="MJ5" s="11">
        <v>0.06</v>
      </c>
      <c r="MK5" s="11">
        <v>0.06</v>
      </c>
      <c r="ML5" s="11">
        <v>0.06</v>
      </c>
      <c r="MM5" s="11">
        <v>0.06</v>
      </c>
      <c r="MN5" s="11">
        <v>0.06</v>
      </c>
      <c r="MO5" s="11">
        <v>0.06</v>
      </c>
      <c r="MP5" s="11">
        <v>0.06</v>
      </c>
      <c r="MQ5" s="11">
        <v>0.06</v>
      </c>
      <c r="MR5" s="11">
        <v>0.06</v>
      </c>
      <c r="MS5" s="11">
        <v>0.06</v>
      </c>
      <c r="MT5" s="11">
        <v>0.06</v>
      </c>
      <c r="MU5" s="11">
        <v>0.06</v>
      </c>
      <c r="MV5" s="11">
        <v>0.06</v>
      </c>
      <c r="MW5" s="11">
        <v>0.06</v>
      </c>
      <c r="MX5" s="11">
        <v>0.06</v>
      </c>
      <c r="MY5" s="11">
        <v>0.06</v>
      </c>
      <c r="MZ5" s="11">
        <v>0.06</v>
      </c>
      <c r="NA5" s="11">
        <v>0.06</v>
      </c>
      <c r="NB5" s="11">
        <v>0.06</v>
      </c>
      <c r="NC5" s="11">
        <v>0.06</v>
      </c>
      <c r="ND5" s="11">
        <v>0.06</v>
      </c>
    </row>
    <row r="6" spans="1:368" x14ac:dyDescent="0.3">
      <c r="A6" s="16" t="s">
        <v>31</v>
      </c>
      <c r="B6" s="2" t="s">
        <v>332</v>
      </c>
      <c r="C6" s="2" t="s">
        <v>11</v>
      </c>
      <c r="D6" s="2" t="s">
        <v>286</v>
      </c>
      <c r="E6" s="2" t="s">
        <v>332</v>
      </c>
      <c r="F6" s="2" t="s">
        <v>11</v>
      </c>
      <c r="G6" s="2" t="s">
        <v>286</v>
      </c>
      <c r="N6" s="16" t="s">
        <v>31</v>
      </c>
      <c r="O6" s="2" t="s">
        <v>143</v>
      </c>
      <c r="P6" s="2" t="s">
        <v>144</v>
      </c>
      <c r="Q6" s="14" t="s">
        <v>0</v>
      </c>
      <c r="R6" s="14" t="s">
        <v>26</v>
      </c>
      <c r="S6" s="14" t="s">
        <v>687</v>
      </c>
      <c r="T6" s="14" t="s">
        <v>148</v>
      </c>
      <c r="V6" s="2" t="s">
        <v>11</v>
      </c>
      <c r="W6" s="2">
        <v>921</v>
      </c>
      <c r="X6" s="2">
        <v>52</v>
      </c>
      <c r="Y6" s="10" t="str">
        <f t="shared" si="0"/>
        <v>CNC</v>
      </c>
      <c r="Z6" s="11">
        <f t="shared" ref="Z6:Z7" si="1">1-AB6</f>
        <v>3.0000000000000027E-2</v>
      </c>
      <c r="AA6" s="17">
        <f>GETPIVOTDATA("Somme de Nombre des défauts",$V$3,"Statu","Duplication","Origine de défaut","CNC")/R4</f>
        <v>0.12206572769953052</v>
      </c>
      <c r="AB6" s="12">
        <v>0.97</v>
      </c>
      <c r="AC6" s="17">
        <f t="shared" ref="AC6:AC14" si="2">1-AA6</f>
        <v>0.8779342723004695</v>
      </c>
      <c r="AL6" s="48" t="s">
        <v>586</v>
      </c>
      <c r="AM6" s="11">
        <v>0.1</v>
      </c>
      <c r="AN6" s="11">
        <v>0.1</v>
      </c>
      <c r="AO6" s="11">
        <v>0.1</v>
      </c>
      <c r="AP6" s="11">
        <v>0.1</v>
      </c>
      <c r="AQ6" s="11">
        <v>0.1</v>
      </c>
      <c r="AR6" s="11">
        <v>0.1</v>
      </c>
      <c r="AS6" s="11">
        <v>0.1</v>
      </c>
      <c r="AT6" s="11">
        <v>0.1</v>
      </c>
      <c r="AU6" s="11">
        <v>0.1</v>
      </c>
      <c r="AV6" s="11">
        <v>0.1</v>
      </c>
      <c r="AW6" s="11">
        <v>0.1</v>
      </c>
      <c r="AX6" s="11">
        <v>0.1</v>
      </c>
      <c r="AY6" s="11">
        <v>0.1</v>
      </c>
      <c r="AZ6" s="11">
        <v>0.1</v>
      </c>
      <c r="BA6" s="11">
        <v>0.1</v>
      </c>
      <c r="BB6" s="11">
        <v>0.1</v>
      </c>
      <c r="BC6" s="11">
        <v>0.1</v>
      </c>
      <c r="BD6" s="11">
        <v>0.1</v>
      </c>
      <c r="BE6" s="11">
        <v>0.1</v>
      </c>
      <c r="BF6" s="11">
        <v>0.1</v>
      </c>
      <c r="BG6" s="11">
        <v>0.1</v>
      </c>
      <c r="BH6" s="11">
        <v>0.1</v>
      </c>
      <c r="BI6" s="11">
        <v>0.1</v>
      </c>
      <c r="BJ6" s="11">
        <v>0.1</v>
      </c>
      <c r="BK6" s="11">
        <v>0.1</v>
      </c>
      <c r="BL6" s="11">
        <v>0.1</v>
      </c>
      <c r="BM6" s="11">
        <v>0.1</v>
      </c>
      <c r="BN6" s="11">
        <v>0.1</v>
      </c>
      <c r="BO6" s="11">
        <v>0.1</v>
      </c>
      <c r="BP6" s="11">
        <v>0.1</v>
      </c>
      <c r="BQ6" s="11">
        <v>0.1</v>
      </c>
      <c r="BR6" s="11">
        <v>0.1</v>
      </c>
      <c r="BS6" s="11">
        <v>0.1</v>
      </c>
      <c r="BT6" s="11">
        <v>0.1</v>
      </c>
      <c r="BU6" s="11">
        <v>0.1</v>
      </c>
      <c r="BV6" s="11">
        <v>0.1</v>
      </c>
      <c r="BW6" s="11">
        <v>0.1</v>
      </c>
      <c r="BX6" s="11">
        <v>0.1</v>
      </c>
      <c r="BY6" s="11">
        <v>0.1</v>
      </c>
      <c r="BZ6" s="11">
        <v>0.1</v>
      </c>
      <c r="CA6" s="11">
        <v>0.1</v>
      </c>
      <c r="CB6" s="11">
        <v>0.1</v>
      </c>
      <c r="CC6" s="11">
        <v>0.1</v>
      </c>
      <c r="CD6" s="11">
        <v>0.1</v>
      </c>
      <c r="CE6" s="11">
        <v>0.1</v>
      </c>
      <c r="CF6" s="11">
        <v>0.1</v>
      </c>
      <c r="CG6" s="11">
        <v>0.1</v>
      </c>
      <c r="CH6" s="11">
        <v>0.1</v>
      </c>
      <c r="CI6" s="11">
        <v>0.1</v>
      </c>
      <c r="CJ6" s="11">
        <v>0.1</v>
      </c>
      <c r="CK6" s="11">
        <v>0.1</v>
      </c>
      <c r="CL6" s="11">
        <v>0.1</v>
      </c>
      <c r="CM6" s="11">
        <v>0.1</v>
      </c>
      <c r="CN6" s="11">
        <v>0.1</v>
      </c>
      <c r="CO6" s="11">
        <v>0.1</v>
      </c>
      <c r="CP6" s="11">
        <v>0.1</v>
      </c>
      <c r="CQ6" s="11">
        <v>0.1</v>
      </c>
      <c r="CR6" s="11">
        <v>0.1</v>
      </c>
      <c r="CS6" s="11">
        <v>0.1</v>
      </c>
      <c r="CT6" s="11">
        <v>0.1</v>
      </c>
      <c r="CU6" s="11">
        <v>0.1</v>
      </c>
      <c r="CV6" s="11">
        <v>0.1</v>
      </c>
      <c r="CW6" s="11">
        <v>0.1</v>
      </c>
      <c r="CX6" s="11">
        <v>0.1</v>
      </c>
      <c r="CY6" s="11">
        <v>0.1</v>
      </c>
      <c r="CZ6" s="11">
        <v>0.1</v>
      </c>
      <c r="DA6" s="11">
        <v>0.1</v>
      </c>
      <c r="DB6" s="11">
        <v>0.1</v>
      </c>
      <c r="DC6" s="11">
        <v>0.1</v>
      </c>
      <c r="DD6" s="11">
        <v>0.1</v>
      </c>
      <c r="DE6" s="11">
        <v>0.1</v>
      </c>
      <c r="DF6" s="11">
        <v>0.1</v>
      </c>
      <c r="DG6" s="11">
        <v>0.1</v>
      </c>
      <c r="DH6" s="11">
        <v>0.1</v>
      </c>
      <c r="DI6" s="11">
        <v>0.1</v>
      </c>
      <c r="DJ6" s="11">
        <v>0.1</v>
      </c>
      <c r="DK6" s="11">
        <v>0.1</v>
      </c>
      <c r="DL6" s="11">
        <v>0.1</v>
      </c>
      <c r="DM6" s="11">
        <v>0.1</v>
      </c>
      <c r="DN6" s="11">
        <v>0.1</v>
      </c>
      <c r="DO6" s="11">
        <v>0.1</v>
      </c>
      <c r="DP6" s="11">
        <v>0.1</v>
      </c>
      <c r="DQ6" s="11">
        <v>0.1</v>
      </c>
      <c r="DR6" s="11">
        <v>0.1</v>
      </c>
      <c r="DS6" s="11">
        <v>0.1</v>
      </c>
      <c r="DT6" s="11">
        <v>0.1</v>
      </c>
      <c r="DU6" s="11">
        <v>0.1</v>
      </c>
      <c r="DV6" s="11">
        <v>0.1</v>
      </c>
      <c r="DW6" s="11">
        <v>0.1</v>
      </c>
      <c r="DX6" s="11">
        <v>0.1</v>
      </c>
      <c r="DY6" s="11">
        <v>0.1</v>
      </c>
      <c r="DZ6" s="11">
        <v>0.1</v>
      </c>
      <c r="EA6" s="11">
        <v>0.1</v>
      </c>
      <c r="EB6" s="11">
        <v>0.1</v>
      </c>
      <c r="EC6" s="11">
        <v>0.1</v>
      </c>
      <c r="ED6" s="11">
        <v>0.1</v>
      </c>
      <c r="EE6" s="11">
        <v>0.1</v>
      </c>
      <c r="EF6" s="11">
        <v>0.1</v>
      </c>
      <c r="EG6" s="11">
        <v>0.1</v>
      </c>
      <c r="EH6" s="11">
        <v>0.1</v>
      </c>
      <c r="EI6" s="11">
        <v>0.1</v>
      </c>
      <c r="EJ6" s="11">
        <v>0.1</v>
      </c>
      <c r="EK6" s="11">
        <v>0.1</v>
      </c>
      <c r="EL6" s="11">
        <v>0.1</v>
      </c>
      <c r="EM6" s="11">
        <v>0.1</v>
      </c>
      <c r="EN6" s="11">
        <v>0.1</v>
      </c>
      <c r="EO6" s="11">
        <v>0.1</v>
      </c>
      <c r="EP6" s="11">
        <v>0.1</v>
      </c>
      <c r="EQ6" s="11">
        <v>0.1</v>
      </c>
      <c r="ER6" s="11">
        <v>0.1</v>
      </c>
      <c r="ES6" s="11">
        <v>0.1</v>
      </c>
      <c r="ET6" s="11">
        <v>0.1</v>
      </c>
      <c r="EU6" s="11">
        <v>0.1</v>
      </c>
      <c r="EV6" s="11">
        <v>0.1</v>
      </c>
      <c r="EW6" s="11">
        <v>0.1</v>
      </c>
      <c r="EX6" s="11">
        <v>0.1</v>
      </c>
      <c r="EY6" s="11">
        <v>0.1</v>
      </c>
      <c r="EZ6" s="11">
        <v>0.1</v>
      </c>
      <c r="FA6" s="11">
        <v>0.1</v>
      </c>
      <c r="FB6" s="11">
        <v>0.1</v>
      </c>
      <c r="FC6" s="11">
        <v>0.1</v>
      </c>
      <c r="FD6" s="11">
        <v>0.1</v>
      </c>
      <c r="FE6" s="11">
        <v>0.1</v>
      </c>
      <c r="FF6" s="11">
        <v>0.1</v>
      </c>
      <c r="FG6" s="11">
        <v>0.1</v>
      </c>
      <c r="FH6" s="11">
        <v>0.1</v>
      </c>
      <c r="FI6" s="11">
        <v>0.1</v>
      </c>
      <c r="FJ6" s="11">
        <v>0.1</v>
      </c>
      <c r="FK6" s="11">
        <v>0.1</v>
      </c>
      <c r="FL6" s="11">
        <v>0.1</v>
      </c>
      <c r="FM6" s="11">
        <v>0.1</v>
      </c>
      <c r="FN6" s="11">
        <v>0.1</v>
      </c>
      <c r="FO6" s="11">
        <v>0.1</v>
      </c>
      <c r="FP6" s="11">
        <v>0.1</v>
      </c>
      <c r="FQ6" s="11">
        <v>0.1</v>
      </c>
      <c r="FR6" s="11">
        <v>0.1</v>
      </c>
      <c r="FS6" s="11">
        <v>0.1</v>
      </c>
      <c r="FT6" s="11">
        <v>0.1</v>
      </c>
      <c r="FU6" s="11">
        <v>0.1</v>
      </c>
      <c r="FV6" s="11">
        <v>0.1</v>
      </c>
      <c r="FW6" s="11">
        <v>0.1</v>
      </c>
      <c r="FX6" s="11">
        <v>0.1</v>
      </c>
      <c r="FY6" s="11">
        <v>0.1</v>
      </c>
      <c r="FZ6" s="11">
        <v>0.1</v>
      </c>
      <c r="GA6" s="11">
        <v>0.1</v>
      </c>
      <c r="GB6" s="11">
        <v>0.1</v>
      </c>
      <c r="GC6" s="11">
        <v>0.1</v>
      </c>
      <c r="GD6" s="11">
        <v>0.1</v>
      </c>
      <c r="GE6" s="11">
        <v>0.1</v>
      </c>
      <c r="GF6" s="11">
        <v>0.1</v>
      </c>
      <c r="GG6" s="11">
        <v>0.1</v>
      </c>
      <c r="GH6" s="11">
        <v>0.1</v>
      </c>
      <c r="GI6" s="11">
        <v>0.1</v>
      </c>
      <c r="GJ6" s="11">
        <v>0.1</v>
      </c>
      <c r="GK6" s="11">
        <v>0.1</v>
      </c>
      <c r="GL6" s="11">
        <v>0.1</v>
      </c>
      <c r="GM6" s="11">
        <v>0.1</v>
      </c>
      <c r="GN6" s="11">
        <v>0.1</v>
      </c>
      <c r="GO6" s="11">
        <v>0.1</v>
      </c>
      <c r="GP6" s="11">
        <v>0.1</v>
      </c>
      <c r="GQ6" s="11">
        <v>0.1</v>
      </c>
      <c r="GR6" s="11">
        <v>0.1</v>
      </c>
      <c r="GS6" s="11">
        <v>0.1</v>
      </c>
      <c r="GT6" s="11">
        <v>0.1</v>
      </c>
      <c r="GU6" s="11">
        <v>0.1</v>
      </c>
      <c r="GV6" s="11">
        <v>0.1</v>
      </c>
      <c r="GW6" s="11">
        <v>0.1</v>
      </c>
      <c r="GX6" s="11">
        <v>0.1</v>
      </c>
      <c r="GY6" s="11">
        <v>0.1</v>
      </c>
      <c r="GZ6" s="11">
        <v>0.1</v>
      </c>
      <c r="HA6" s="11">
        <v>0.1</v>
      </c>
      <c r="HB6" s="11">
        <v>0.1</v>
      </c>
      <c r="HC6" s="11">
        <v>0.1</v>
      </c>
      <c r="HD6" s="11">
        <v>0.1</v>
      </c>
      <c r="HE6" s="11">
        <v>0.1</v>
      </c>
      <c r="HF6" s="11">
        <v>0.1</v>
      </c>
      <c r="HG6" s="11">
        <v>0.1</v>
      </c>
      <c r="HH6" s="11">
        <v>0.1</v>
      </c>
      <c r="HI6" s="11">
        <v>0.1</v>
      </c>
      <c r="HJ6" s="11">
        <v>0.1</v>
      </c>
      <c r="HK6" s="11">
        <v>0.1</v>
      </c>
      <c r="HL6" s="11">
        <v>0.1</v>
      </c>
      <c r="HM6" s="11">
        <v>0.1</v>
      </c>
      <c r="HN6" s="11">
        <v>0.1</v>
      </c>
      <c r="HO6" s="11">
        <v>0.1</v>
      </c>
      <c r="HP6" s="11">
        <v>0.1</v>
      </c>
      <c r="HQ6" s="11">
        <v>0.1</v>
      </c>
      <c r="HR6" s="11">
        <v>0.1</v>
      </c>
      <c r="HS6" s="11">
        <v>0.1</v>
      </c>
      <c r="HT6" s="11">
        <v>0.1</v>
      </c>
      <c r="HU6" s="11">
        <v>0.1</v>
      </c>
      <c r="HV6" s="11">
        <v>0.1</v>
      </c>
      <c r="HW6" s="11">
        <v>0.1</v>
      </c>
      <c r="HX6" s="11">
        <v>0.1</v>
      </c>
      <c r="HY6" s="11">
        <v>0.1</v>
      </c>
      <c r="HZ6" s="11">
        <v>0.1</v>
      </c>
      <c r="IA6" s="11">
        <v>0.1</v>
      </c>
      <c r="IB6" s="11">
        <v>0.1</v>
      </c>
      <c r="IC6" s="11">
        <v>0.1</v>
      </c>
      <c r="ID6" s="11">
        <v>0.1</v>
      </c>
      <c r="IE6" s="11">
        <v>0.1</v>
      </c>
      <c r="IF6" s="11">
        <v>0.1</v>
      </c>
      <c r="IG6" s="11">
        <v>0.1</v>
      </c>
      <c r="IH6" s="11">
        <v>0.1</v>
      </c>
      <c r="II6" s="11">
        <v>0.1</v>
      </c>
      <c r="IJ6" s="11">
        <v>0.1</v>
      </c>
      <c r="IK6" s="11">
        <v>0.1</v>
      </c>
      <c r="IL6" s="11">
        <v>0.1</v>
      </c>
      <c r="IM6" s="11">
        <v>0.1</v>
      </c>
      <c r="IN6" s="11">
        <v>0.1</v>
      </c>
      <c r="IO6" s="11">
        <v>0.1</v>
      </c>
      <c r="IP6" s="11">
        <v>0.1</v>
      </c>
      <c r="IQ6" s="11">
        <v>0.1</v>
      </c>
      <c r="IR6" s="11">
        <v>0.1</v>
      </c>
      <c r="IS6" s="11">
        <v>0.1</v>
      </c>
      <c r="IT6" s="11">
        <v>0.1</v>
      </c>
      <c r="IU6" s="11">
        <v>0.1</v>
      </c>
      <c r="IV6" s="11">
        <v>0.1</v>
      </c>
      <c r="IW6" s="11">
        <v>0.1</v>
      </c>
      <c r="IX6" s="11">
        <v>0.1</v>
      </c>
      <c r="IY6" s="11">
        <v>0.1</v>
      </c>
      <c r="IZ6" s="11">
        <v>0.1</v>
      </c>
      <c r="JA6" s="11">
        <v>0.1</v>
      </c>
      <c r="JB6" s="11">
        <v>0.1</v>
      </c>
      <c r="JC6" s="11">
        <v>0.1</v>
      </c>
      <c r="JD6" s="11">
        <v>0.1</v>
      </c>
      <c r="JE6" s="11">
        <v>0.1</v>
      </c>
      <c r="JF6" s="11">
        <v>0.1</v>
      </c>
      <c r="JG6" s="11">
        <v>0.1</v>
      </c>
      <c r="JH6" s="11">
        <v>0.1</v>
      </c>
      <c r="JI6" s="11">
        <v>0.1</v>
      </c>
      <c r="JJ6" s="11">
        <v>0.1</v>
      </c>
      <c r="JK6" s="11">
        <v>0.1</v>
      </c>
      <c r="JL6" s="11">
        <v>0.1</v>
      </c>
      <c r="JM6" s="11">
        <v>0.1</v>
      </c>
      <c r="JN6" s="11">
        <v>0.1</v>
      </c>
      <c r="JO6" s="11">
        <v>0.1</v>
      </c>
      <c r="JP6" s="11">
        <v>0.1</v>
      </c>
      <c r="JQ6" s="11">
        <v>0.1</v>
      </c>
      <c r="JR6" s="11">
        <v>0.1</v>
      </c>
      <c r="JS6" s="11">
        <v>0.1</v>
      </c>
      <c r="JT6" s="11">
        <v>0.1</v>
      </c>
      <c r="JU6" s="11">
        <v>0.1</v>
      </c>
      <c r="JV6" s="11">
        <v>0.1</v>
      </c>
      <c r="JW6" s="11">
        <v>0.1</v>
      </c>
      <c r="JX6" s="11">
        <v>0.1</v>
      </c>
      <c r="JY6" s="11">
        <v>0.1</v>
      </c>
      <c r="JZ6" s="11">
        <v>0.1</v>
      </c>
      <c r="KA6" s="11">
        <v>0.1</v>
      </c>
      <c r="KB6" s="11">
        <v>0.1</v>
      </c>
      <c r="KC6" s="11">
        <v>0.1</v>
      </c>
      <c r="KD6" s="11">
        <v>0.1</v>
      </c>
      <c r="KE6" s="11">
        <v>0.1</v>
      </c>
      <c r="KF6" s="11">
        <v>0.1</v>
      </c>
      <c r="KG6" s="11">
        <v>0.1</v>
      </c>
      <c r="KH6" s="11">
        <v>0.1</v>
      </c>
      <c r="KI6" s="11">
        <v>0.1</v>
      </c>
      <c r="KJ6" s="11">
        <v>0.1</v>
      </c>
      <c r="KK6" s="11">
        <v>0.1</v>
      </c>
      <c r="KL6" s="11">
        <v>0.1</v>
      </c>
      <c r="KM6" s="11">
        <v>0.1</v>
      </c>
      <c r="KN6" s="11">
        <v>0.1</v>
      </c>
      <c r="KO6" s="11">
        <v>0.1</v>
      </c>
      <c r="KP6" s="11">
        <v>0.1</v>
      </c>
      <c r="KQ6" s="11">
        <v>0.1</v>
      </c>
      <c r="KR6" s="11">
        <v>0.1</v>
      </c>
      <c r="KS6" s="11">
        <v>0.1</v>
      </c>
      <c r="KT6" s="11">
        <v>0.1</v>
      </c>
      <c r="KU6" s="11">
        <v>0.1</v>
      </c>
      <c r="KV6" s="11">
        <v>0.1</v>
      </c>
      <c r="KW6" s="11">
        <v>0.1</v>
      </c>
      <c r="KX6" s="11">
        <v>0.1</v>
      </c>
      <c r="KY6" s="11">
        <v>0.1</v>
      </c>
      <c r="KZ6" s="11">
        <v>0.1</v>
      </c>
      <c r="LA6" s="11">
        <v>0.1</v>
      </c>
      <c r="LB6" s="11">
        <v>0.1</v>
      </c>
      <c r="LC6" s="11">
        <v>0.1</v>
      </c>
      <c r="LD6" s="11">
        <v>0.1</v>
      </c>
      <c r="LE6" s="11">
        <v>0.1</v>
      </c>
      <c r="LF6" s="11">
        <v>0.1</v>
      </c>
      <c r="LG6" s="11">
        <v>0.1</v>
      </c>
      <c r="LH6" s="11">
        <v>0.1</v>
      </c>
      <c r="LI6" s="11">
        <v>0.1</v>
      </c>
      <c r="LJ6" s="11">
        <v>0.1</v>
      </c>
      <c r="LK6" s="11">
        <v>0.1</v>
      </c>
      <c r="LL6" s="11">
        <v>0.1</v>
      </c>
      <c r="LM6" s="11">
        <v>0.1</v>
      </c>
      <c r="LN6" s="11">
        <v>0.1</v>
      </c>
      <c r="LO6" s="11">
        <v>0.1</v>
      </c>
      <c r="LP6" s="11">
        <v>0.1</v>
      </c>
      <c r="LQ6" s="11">
        <v>0.1</v>
      </c>
      <c r="LR6" s="11">
        <v>0.1</v>
      </c>
      <c r="LS6" s="11">
        <v>0.1</v>
      </c>
      <c r="LT6" s="11">
        <v>0.1</v>
      </c>
      <c r="LU6" s="11">
        <v>0.1</v>
      </c>
      <c r="LV6" s="11">
        <v>0.1</v>
      </c>
      <c r="LW6" s="11">
        <v>0.1</v>
      </c>
      <c r="LX6" s="11">
        <v>0.1</v>
      </c>
      <c r="LY6" s="11">
        <v>0.1</v>
      </c>
      <c r="LZ6" s="11">
        <v>0.1</v>
      </c>
      <c r="MA6" s="11">
        <v>0.1</v>
      </c>
      <c r="MB6" s="11">
        <v>0.1</v>
      </c>
      <c r="MC6" s="11">
        <v>0.1</v>
      </c>
      <c r="MD6" s="11">
        <v>0.1</v>
      </c>
      <c r="ME6" s="11">
        <v>0.1</v>
      </c>
      <c r="MF6" s="11">
        <v>0.1</v>
      </c>
      <c r="MG6" s="11">
        <v>0.1</v>
      </c>
      <c r="MH6" s="11">
        <v>0.1</v>
      </c>
      <c r="MI6" s="11">
        <v>0.1</v>
      </c>
      <c r="MJ6" s="11">
        <v>0.1</v>
      </c>
      <c r="MK6" s="11">
        <v>0.1</v>
      </c>
      <c r="ML6" s="11">
        <v>0.1</v>
      </c>
      <c r="MM6" s="11">
        <v>0.1</v>
      </c>
      <c r="MN6" s="11">
        <v>0.1</v>
      </c>
      <c r="MO6" s="11">
        <v>0.1</v>
      </c>
      <c r="MP6" s="11">
        <v>0.1</v>
      </c>
      <c r="MQ6" s="11">
        <v>0.1</v>
      </c>
      <c r="MR6" s="11">
        <v>0.1</v>
      </c>
      <c r="MS6" s="11">
        <v>0.1</v>
      </c>
      <c r="MT6" s="11">
        <v>0.1</v>
      </c>
      <c r="MU6" s="11">
        <v>0.1</v>
      </c>
      <c r="MV6" s="11">
        <v>0.1</v>
      </c>
      <c r="MW6" s="11">
        <v>0.1</v>
      </c>
      <c r="MX6" s="11">
        <v>0.1</v>
      </c>
      <c r="MY6" s="11">
        <v>0.1</v>
      </c>
      <c r="MZ6" s="11">
        <v>0.1</v>
      </c>
      <c r="NA6" s="11">
        <v>0.1</v>
      </c>
      <c r="NB6" s="11">
        <v>0.1</v>
      </c>
      <c r="NC6" s="11">
        <v>0.1</v>
      </c>
      <c r="ND6" s="11">
        <v>0.1</v>
      </c>
    </row>
    <row r="7" spans="1:368" x14ac:dyDescent="0.3">
      <c r="A7" s="2" t="s">
        <v>24</v>
      </c>
      <c r="C7" s="2">
        <v>3559</v>
      </c>
      <c r="E7" s="2">
        <v>65</v>
      </c>
      <c r="F7" s="2">
        <v>142</v>
      </c>
      <c r="G7" s="2">
        <v>8</v>
      </c>
      <c r="H7" s="2">
        <v>3559</v>
      </c>
      <c r="I7" s="2">
        <v>215</v>
      </c>
      <c r="N7" s="2" t="s">
        <v>11</v>
      </c>
      <c r="O7" s="2">
        <v>2737</v>
      </c>
      <c r="P7" s="2">
        <v>103</v>
      </c>
      <c r="Q7" s="10" t="str">
        <f>N7</f>
        <v>CNC</v>
      </c>
      <c r="R7" s="11">
        <v>0.05</v>
      </c>
      <c r="S7" s="17">
        <f>GETPIVOTDATA("Somme de Nombre des défauts",$N$5,"detecter par","CNC")/P4</f>
        <v>0.2047713717693837</v>
      </c>
      <c r="T7" s="17">
        <f>GETPIVOTDATA("Somme de Nombre des défauts",$N$5,"detecter par","CNC")/GETPIVOTDATA("Somme de Nombre des défauts",$N$6)</f>
        <v>0.70547945205479456</v>
      </c>
      <c r="V7" s="2" t="s">
        <v>16</v>
      </c>
      <c r="W7" s="2">
        <v>88</v>
      </c>
      <c r="X7" s="2">
        <v>11</v>
      </c>
      <c r="Y7" s="10" t="str">
        <f t="shared" si="0"/>
        <v>FAO</v>
      </c>
      <c r="Z7" s="11">
        <f t="shared" si="1"/>
        <v>1.0000000000000009E-2</v>
      </c>
      <c r="AA7" s="17">
        <f>GETPIVOTDATA("Somme de Nombre des défauts",$V$3,"Statu","Duplication","Origine de défaut","CAO")/R4</f>
        <v>7.0422535211267607E-3</v>
      </c>
      <c r="AB7" s="12">
        <v>0.99</v>
      </c>
      <c r="AC7" s="17">
        <f t="shared" si="2"/>
        <v>0.99295774647887325</v>
      </c>
      <c r="AL7" s="48" t="s">
        <v>630</v>
      </c>
      <c r="AM7" s="11">
        <v>0.2</v>
      </c>
      <c r="AN7" s="11">
        <v>0.2</v>
      </c>
      <c r="AO7" s="11">
        <v>0.2</v>
      </c>
      <c r="AP7" s="11">
        <v>0.2</v>
      </c>
      <c r="AQ7" s="11">
        <v>0.2</v>
      </c>
      <c r="AR7" s="11">
        <v>0.2</v>
      </c>
      <c r="AS7" s="11">
        <v>0.2</v>
      </c>
      <c r="AT7" s="11">
        <v>0.2</v>
      </c>
      <c r="AU7" s="11">
        <v>0.2</v>
      </c>
      <c r="AV7" s="11">
        <v>0.2</v>
      </c>
      <c r="AW7" s="11">
        <v>0.2</v>
      </c>
      <c r="AX7" s="11">
        <v>0.2</v>
      </c>
      <c r="AY7" s="11">
        <v>0.2</v>
      </c>
      <c r="AZ7" s="11">
        <v>0.2</v>
      </c>
      <c r="BA7" s="11">
        <v>0.2</v>
      </c>
      <c r="BB7" s="11">
        <v>0.2</v>
      </c>
      <c r="BC7" s="11">
        <v>0.2</v>
      </c>
      <c r="BD7" s="11">
        <v>0.2</v>
      </c>
      <c r="BE7" s="11">
        <v>0.2</v>
      </c>
      <c r="BF7" s="11">
        <v>0.2</v>
      </c>
      <c r="BG7" s="11">
        <v>0.2</v>
      </c>
      <c r="BH7" s="11">
        <v>0.2</v>
      </c>
      <c r="BI7" s="11">
        <v>0.2</v>
      </c>
      <c r="BJ7" s="11">
        <v>0.2</v>
      </c>
      <c r="BK7" s="11">
        <v>0.2</v>
      </c>
      <c r="BL7" s="11">
        <v>0.2</v>
      </c>
      <c r="BM7" s="11">
        <v>0.2</v>
      </c>
      <c r="BN7" s="11">
        <v>0.2</v>
      </c>
      <c r="BO7" s="11">
        <v>0.2</v>
      </c>
      <c r="BP7" s="11">
        <v>0.2</v>
      </c>
      <c r="BQ7" s="11">
        <v>0.2</v>
      </c>
      <c r="BR7" s="11">
        <v>0.2</v>
      </c>
      <c r="BS7" s="11">
        <v>0.2</v>
      </c>
      <c r="BT7" s="11">
        <v>0.2</v>
      </c>
      <c r="BU7" s="11">
        <v>0.2</v>
      </c>
      <c r="BV7" s="11">
        <v>0.2</v>
      </c>
      <c r="BW7" s="11">
        <v>0.2</v>
      </c>
      <c r="BX7" s="11">
        <v>0.2</v>
      </c>
      <c r="BY7" s="11">
        <v>0.2</v>
      </c>
      <c r="BZ7" s="11">
        <v>0.2</v>
      </c>
      <c r="CA7" s="11">
        <v>0.2</v>
      </c>
      <c r="CB7" s="11">
        <v>0.2</v>
      </c>
      <c r="CC7" s="11">
        <v>0.2</v>
      </c>
      <c r="CD7" s="11">
        <v>0.2</v>
      </c>
      <c r="CE7" s="11">
        <v>0.2</v>
      </c>
      <c r="CF7" s="11">
        <v>0.2</v>
      </c>
      <c r="CG7" s="11">
        <v>0.2</v>
      </c>
      <c r="CH7" s="11">
        <v>0.2</v>
      </c>
      <c r="CI7" s="11">
        <v>0.2</v>
      </c>
      <c r="CJ7" s="11">
        <v>0.2</v>
      </c>
      <c r="CK7" s="11">
        <v>0.2</v>
      </c>
      <c r="CL7" s="11">
        <v>0.2</v>
      </c>
      <c r="CM7" s="11">
        <v>0.2</v>
      </c>
      <c r="CN7" s="11">
        <v>0.2</v>
      </c>
      <c r="CO7" s="11">
        <v>0.2</v>
      </c>
      <c r="CP7" s="11">
        <v>0.2</v>
      </c>
      <c r="CQ7" s="11">
        <v>0.2</v>
      </c>
      <c r="CR7" s="11">
        <v>0.2</v>
      </c>
      <c r="CS7" s="11">
        <v>0.2</v>
      </c>
      <c r="CT7" s="11">
        <v>0.2</v>
      </c>
      <c r="CU7" s="11">
        <v>0.2</v>
      </c>
      <c r="CV7" s="11">
        <v>0.2</v>
      </c>
      <c r="CW7" s="11">
        <v>0.2</v>
      </c>
      <c r="CX7" s="11">
        <v>0.2</v>
      </c>
      <c r="CY7" s="11">
        <v>0.2</v>
      </c>
      <c r="CZ7" s="11">
        <v>0.2</v>
      </c>
      <c r="DA7" s="11">
        <v>0.2</v>
      </c>
      <c r="DB7" s="11">
        <v>0.2</v>
      </c>
      <c r="DC7" s="11">
        <v>0.2</v>
      </c>
      <c r="DD7" s="11">
        <v>0.2</v>
      </c>
      <c r="DE7" s="11">
        <v>0.2</v>
      </c>
      <c r="DF7" s="11">
        <v>0.2</v>
      </c>
      <c r="DG7" s="11">
        <v>0.2</v>
      </c>
      <c r="DH7" s="11">
        <v>0.2</v>
      </c>
      <c r="DI7" s="11">
        <v>0.2</v>
      </c>
      <c r="DJ7" s="11">
        <v>0.2</v>
      </c>
      <c r="DK7" s="11">
        <v>0.2</v>
      </c>
      <c r="DL7" s="11">
        <v>0.2</v>
      </c>
      <c r="DM7" s="11">
        <v>0.2</v>
      </c>
      <c r="DN7" s="11">
        <v>0.2</v>
      </c>
      <c r="DO7" s="11">
        <v>0.2</v>
      </c>
      <c r="DP7" s="11">
        <v>0.2</v>
      </c>
      <c r="DQ7" s="11">
        <v>0.2</v>
      </c>
      <c r="DR7" s="11">
        <v>0.2</v>
      </c>
      <c r="DS7" s="11">
        <v>0.2</v>
      </c>
      <c r="DT7" s="11">
        <v>0.2</v>
      </c>
      <c r="DU7" s="11">
        <v>0.2</v>
      </c>
      <c r="DV7" s="11">
        <v>0.2</v>
      </c>
      <c r="DW7" s="11">
        <v>0.2</v>
      </c>
      <c r="DX7" s="11">
        <v>0.2</v>
      </c>
      <c r="DY7" s="11">
        <v>0.2</v>
      </c>
      <c r="DZ7" s="11">
        <v>0.2</v>
      </c>
      <c r="EA7" s="11">
        <v>0.2</v>
      </c>
      <c r="EB7" s="11">
        <v>0.2</v>
      </c>
      <c r="EC7" s="11">
        <v>0.2</v>
      </c>
      <c r="ED7" s="11">
        <v>0.2</v>
      </c>
      <c r="EE7" s="11">
        <v>0.2</v>
      </c>
      <c r="EF7" s="11">
        <v>0.2</v>
      </c>
      <c r="EG7" s="11">
        <v>0.2</v>
      </c>
      <c r="EH7" s="11">
        <v>0.2</v>
      </c>
      <c r="EI7" s="11">
        <v>0.2</v>
      </c>
      <c r="EJ7" s="11">
        <v>0.2</v>
      </c>
      <c r="EK7" s="11">
        <v>0.2</v>
      </c>
      <c r="EL7" s="11">
        <v>0.2</v>
      </c>
      <c r="EM7" s="11">
        <v>0.2</v>
      </c>
      <c r="EN7" s="11">
        <v>0.2</v>
      </c>
      <c r="EO7" s="11">
        <v>0.2</v>
      </c>
      <c r="EP7" s="11">
        <v>0.2</v>
      </c>
      <c r="EQ7" s="11">
        <v>0.2</v>
      </c>
      <c r="ER7" s="11">
        <v>0.2</v>
      </c>
      <c r="ES7" s="11">
        <v>0.2</v>
      </c>
      <c r="ET7" s="11">
        <v>0.2</v>
      </c>
      <c r="EU7" s="11">
        <v>0.2</v>
      </c>
      <c r="EV7" s="11">
        <v>0.2</v>
      </c>
      <c r="EW7" s="11">
        <v>0.2</v>
      </c>
      <c r="EX7" s="11">
        <v>0.2</v>
      </c>
      <c r="EY7" s="11">
        <v>0.2</v>
      </c>
      <c r="EZ7" s="11">
        <v>0.2</v>
      </c>
      <c r="FA7" s="11">
        <v>0.2</v>
      </c>
      <c r="FB7" s="11">
        <v>0.2</v>
      </c>
      <c r="FC7" s="11">
        <v>0.2</v>
      </c>
      <c r="FD7" s="11">
        <v>0.2</v>
      </c>
      <c r="FE7" s="11">
        <v>0.2</v>
      </c>
      <c r="FF7" s="11">
        <v>0.2</v>
      </c>
      <c r="FG7" s="11">
        <v>0.2</v>
      </c>
      <c r="FH7" s="11">
        <v>0.2</v>
      </c>
      <c r="FI7" s="11">
        <v>0.2</v>
      </c>
      <c r="FJ7" s="11">
        <v>0.2</v>
      </c>
      <c r="FK7" s="11">
        <v>0.2</v>
      </c>
      <c r="FL7" s="11">
        <v>0.2</v>
      </c>
      <c r="FM7" s="11">
        <v>0.2</v>
      </c>
      <c r="FN7" s="11">
        <v>0.2</v>
      </c>
      <c r="FO7" s="11">
        <v>0.2</v>
      </c>
      <c r="FP7" s="11">
        <v>0.2</v>
      </c>
      <c r="FQ7" s="11">
        <v>0.2</v>
      </c>
      <c r="FR7" s="11">
        <v>0.2</v>
      </c>
      <c r="FS7" s="11">
        <v>0.2</v>
      </c>
      <c r="FT7" s="11">
        <v>0.2</v>
      </c>
      <c r="FU7" s="11">
        <v>0.2</v>
      </c>
      <c r="FV7" s="11">
        <v>0.2</v>
      </c>
      <c r="FW7" s="11">
        <v>0.2</v>
      </c>
      <c r="FX7" s="11">
        <v>0.2</v>
      </c>
      <c r="FY7" s="11">
        <v>0.2</v>
      </c>
      <c r="FZ7" s="11">
        <v>0.2</v>
      </c>
      <c r="GA7" s="11">
        <v>0.2</v>
      </c>
      <c r="GB7" s="11">
        <v>0.2</v>
      </c>
      <c r="GC7" s="11">
        <v>0.2</v>
      </c>
      <c r="GD7" s="11">
        <v>0.2</v>
      </c>
      <c r="GE7" s="11">
        <v>0.2</v>
      </c>
      <c r="GF7" s="11">
        <v>0.2</v>
      </c>
      <c r="GG7" s="11">
        <v>0.2</v>
      </c>
      <c r="GH7" s="11">
        <v>0.2</v>
      </c>
      <c r="GI7" s="11">
        <v>0.2</v>
      </c>
      <c r="GJ7" s="11">
        <v>0.2</v>
      </c>
      <c r="GK7" s="11">
        <v>0.2</v>
      </c>
      <c r="GL7" s="11">
        <v>0.2</v>
      </c>
      <c r="GM7" s="11">
        <v>0.2</v>
      </c>
      <c r="GN7" s="11">
        <v>0.2</v>
      </c>
      <c r="GO7" s="11">
        <v>0.2</v>
      </c>
      <c r="GP7" s="11">
        <v>0.2</v>
      </c>
      <c r="GQ7" s="11">
        <v>0.2</v>
      </c>
      <c r="GR7" s="11">
        <v>0.2</v>
      </c>
      <c r="GS7" s="11">
        <v>0.2</v>
      </c>
      <c r="GT7" s="11">
        <v>0.2</v>
      </c>
      <c r="GU7" s="11">
        <v>0.2</v>
      </c>
      <c r="GV7" s="11">
        <v>0.2</v>
      </c>
      <c r="GW7" s="11">
        <v>0.2</v>
      </c>
      <c r="GX7" s="11">
        <v>0.2</v>
      </c>
      <c r="GY7" s="11">
        <v>0.2</v>
      </c>
      <c r="GZ7" s="11">
        <v>0.2</v>
      </c>
      <c r="HA7" s="11">
        <v>0.2</v>
      </c>
      <c r="HB7" s="11">
        <v>0.2</v>
      </c>
      <c r="HC7" s="11">
        <v>0.2</v>
      </c>
      <c r="HD7" s="11">
        <v>0.2</v>
      </c>
      <c r="HE7" s="11">
        <v>0.2</v>
      </c>
      <c r="HF7" s="11">
        <v>0.2</v>
      </c>
      <c r="HG7" s="11">
        <v>0.2</v>
      </c>
      <c r="HH7" s="11">
        <v>0.2</v>
      </c>
      <c r="HI7" s="11">
        <v>0.2</v>
      </c>
      <c r="HJ7" s="11">
        <v>0.2</v>
      </c>
      <c r="HK7" s="11">
        <v>0.2</v>
      </c>
      <c r="HL7" s="11">
        <v>0.2</v>
      </c>
      <c r="HM7" s="11">
        <v>0.2</v>
      </c>
      <c r="HN7" s="11">
        <v>0.2</v>
      </c>
      <c r="HO7" s="11">
        <v>0.2</v>
      </c>
      <c r="HP7" s="11">
        <v>0.2</v>
      </c>
      <c r="HQ7" s="11">
        <v>0.2</v>
      </c>
      <c r="HR7" s="11">
        <v>0.2</v>
      </c>
      <c r="HS7" s="11">
        <v>0.2</v>
      </c>
      <c r="HT7" s="11">
        <v>0.2</v>
      </c>
      <c r="HU7" s="11">
        <v>0.2</v>
      </c>
      <c r="HV7" s="11">
        <v>0.2</v>
      </c>
      <c r="HW7" s="11">
        <v>0.2</v>
      </c>
      <c r="HX7" s="11">
        <v>0.2</v>
      </c>
      <c r="HY7" s="11">
        <v>0.2</v>
      </c>
      <c r="HZ7" s="11">
        <v>0.2</v>
      </c>
      <c r="IA7" s="11">
        <v>0.2</v>
      </c>
      <c r="IB7" s="11">
        <v>0.2</v>
      </c>
      <c r="IC7" s="11">
        <v>0.2</v>
      </c>
      <c r="ID7" s="11">
        <v>0.2</v>
      </c>
      <c r="IE7" s="11">
        <v>0.2</v>
      </c>
      <c r="IF7" s="11">
        <v>0.2</v>
      </c>
      <c r="IG7" s="11">
        <v>0.2</v>
      </c>
      <c r="IH7" s="11">
        <v>0.2</v>
      </c>
      <c r="II7" s="11">
        <v>0.2</v>
      </c>
      <c r="IJ7" s="11">
        <v>0.2</v>
      </c>
      <c r="IK7" s="11">
        <v>0.2</v>
      </c>
      <c r="IL7" s="11">
        <v>0.2</v>
      </c>
      <c r="IM7" s="11">
        <v>0.2</v>
      </c>
      <c r="IN7" s="11">
        <v>0.2</v>
      </c>
      <c r="IO7" s="11">
        <v>0.2</v>
      </c>
      <c r="IP7" s="11">
        <v>0.2</v>
      </c>
      <c r="IQ7" s="11">
        <v>0.2</v>
      </c>
      <c r="IR7" s="11">
        <v>0.2</v>
      </c>
      <c r="IS7" s="11">
        <v>0.2</v>
      </c>
      <c r="IT7" s="11">
        <v>0.2</v>
      </c>
      <c r="IU7" s="11">
        <v>0.2</v>
      </c>
      <c r="IV7" s="11">
        <v>0.2</v>
      </c>
      <c r="IW7" s="11">
        <v>0.2</v>
      </c>
      <c r="IX7" s="11">
        <v>0.2</v>
      </c>
      <c r="IY7" s="11">
        <v>0.2</v>
      </c>
      <c r="IZ7" s="11">
        <v>0.2</v>
      </c>
      <c r="JA7" s="11">
        <v>0.2</v>
      </c>
      <c r="JB7" s="11">
        <v>0.2</v>
      </c>
      <c r="JC7" s="11">
        <v>0.2</v>
      </c>
      <c r="JD7" s="11">
        <v>0.2</v>
      </c>
      <c r="JE7" s="11">
        <v>0.2</v>
      </c>
      <c r="JF7" s="11">
        <v>0.2</v>
      </c>
      <c r="JG7" s="11">
        <v>0.2</v>
      </c>
      <c r="JH7" s="11">
        <v>0.2</v>
      </c>
      <c r="JI7" s="11">
        <v>0.2</v>
      </c>
      <c r="JJ7" s="11">
        <v>0.2</v>
      </c>
      <c r="JK7" s="11">
        <v>0.2</v>
      </c>
      <c r="JL7" s="11">
        <v>0.2</v>
      </c>
      <c r="JM7" s="11">
        <v>0.2</v>
      </c>
      <c r="JN7" s="11">
        <v>0.2</v>
      </c>
      <c r="JO7" s="11">
        <v>0.2</v>
      </c>
      <c r="JP7" s="11">
        <v>0.2</v>
      </c>
      <c r="JQ7" s="11">
        <v>0.2</v>
      </c>
      <c r="JR7" s="11">
        <v>0.2</v>
      </c>
      <c r="JS7" s="11">
        <v>0.2</v>
      </c>
      <c r="JT7" s="11">
        <v>0.2</v>
      </c>
      <c r="JU7" s="11">
        <v>0.2</v>
      </c>
      <c r="JV7" s="11">
        <v>0.2</v>
      </c>
      <c r="JW7" s="11">
        <v>0.2</v>
      </c>
      <c r="JX7" s="11">
        <v>0.2</v>
      </c>
      <c r="JY7" s="11">
        <v>0.2</v>
      </c>
      <c r="JZ7" s="11">
        <v>0.2</v>
      </c>
      <c r="KA7" s="11">
        <v>0.2</v>
      </c>
      <c r="KB7" s="11">
        <v>0.2</v>
      </c>
      <c r="KC7" s="11">
        <v>0.2</v>
      </c>
      <c r="KD7" s="11">
        <v>0.2</v>
      </c>
      <c r="KE7" s="11">
        <v>0.2</v>
      </c>
      <c r="KF7" s="11">
        <v>0.2</v>
      </c>
      <c r="KG7" s="11">
        <v>0.2</v>
      </c>
      <c r="KH7" s="11">
        <v>0.2</v>
      </c>
      <c r="KI7" s="11">
        <v>0.2</v>
      </c>
      <c r="KJ7" s="11">
        <v>0.2</v>
      </c>
      <c r="KK7" s="11">
        <v>0.2</v>
      </c>
      <c r="KL7" s="11">
        <v>0.2</v>
      </c>
      <c r="KM7" s="11">
        <v>0.2</v>
      </c>
      <c r="KN7" s="11">
        <v>0.2</v>
      </c>
      <c r="KO7" s="11">
        <v>0.2</v>
      </c>
      <c r="KP7" s="11">
        <v>0.2</v>
      </c>
      <c r="KQ7" s="11">
        <v>0.2</v>
      </c>
      <c r="KR7" s="11">
        <v>0.2</v>
      </c>
      <c r="KS7" s="11">
        <v>0.2</v>
      </c>
      <c r="KT7" s="11">
        <v>0.2</v>
      </c>
      <c r="KU7" s="11">
        <v>0.2</v>
      </c>
      <c r="KV7" s="11">
        <v>0.2</v>
      </c>
      <c r="KW7" s="11">
        <v>0.2</v>
      </c>
      <c r="KX7" s="11">
        <v>0.2</v>
      </c>
      <c r="KY7" s="11">
        <v>0.2</v>
      </c>
      <c r="KZ7" s="11">
        <v>0.2</v>
      </c>
      <c r="LA7" s="11">
        <v>0.2</v>
      </c>
      <c r="LB7" s="11">
        <v>0.2</v>
      </c>
      <c r="LC7" s="11">
        <v>0.2</v>
      </c>
      <c r="LD7" s="11">
        <v>0.2</v>
      </c>
      <c r="LE7" s="11">
        <v>0.2</v>
      </c>
      <c r="LF7" s="11">
        <v>0.2</v>
      </c>
      <c r="LG7" s="11">
        <v>0.2</v>
      </c>
      <c r="LH7" s="11">
        <v>0.2</v>
      </c>
      <c r="LI7" s="11">
        <v>0.2</v>
      </c>
      <c r="LJ7" s="11">
        <v>0.2</v>
      </c>
      <c r="LK7" s="11">
        <v>0.2</v>
      </c>
      <c r="LL7" s="11">
        <v>0.2</v>
      </c>
      <c r="LM7" s="11">
        <v>0.2</v>
      </c>
      <c r="LN7" s="11">
        <v>0.2</v>
      </c>
      <c r="LO7" s="11">
        <v>0.2</v>
      </c>
      <c r="LP7" s="11">
        <v>0.2</v>
      </c>
      <c r="LQ7" s="11">
        <v>0.2</v>
      </c>
      <c r="LR7" s="11">
        <v>0.2</v>
      </c>
      <c r="LS7" s="11">
        <v>0.2</v>
      </c>
      <c r="LT7" s="11">
        <v>0.2</v>
      </c>
      <c r="LU7" s="11">
        <v>0.2</v>
      </c>
      <c r="LV7" s="11">
        <v>0.2</v>
      </c>
      <c r="LW7" s="11">
        <v>0.2</v>
      </c>
      <c r="LX7" s="11">
        <v>0.2</v>
      </c>
      <c r="LY7" s="11">
        <v>0.2</v>
      </c>
      <c r="LZ7" s="11">
        <v>0.2</v>
      </c>
      <c r="MA7" s="11">
        <v>0.2</v>
      </c>
      <c r="MB7" s="11">
        <v>0.2</v>
      </c>
      <c r="MC7" s="11">
        <v>0.2</v>
      </c>
      <c r="MD7" s="11">
        <v>0.2</v>
      </c>
      <c r="ME7" s="11">
        <v>0.2</v>
      </c>
      <c r="MF7" s="11">
        <v>0.2</v>
      </c>
      <c r="MG7" s="11">
        <v>0.2</v>
      </c>
      <c r="MH7" s="11">
        <v>0.2</v>
      </c>
      <c r="MI7" s="11">
        <v>0.2</v>
      </c>
      <c r="MJ7" s="11">
        <v>0.2</v>
      </c>
      <c r="MK7" s="11">
        <v>0.2</v>
      </c>
      <c r="ML7" s="11">
        <v>0.2</v>
      </c>
      <c r="MM7" s="11">
        <v>0.2</v>
      </c>
      <c r="MN7" s="11">
        <v>0.2</v>
      </c>
      <c r="MO7" s="11">
        <v>0.2</v>
      </c>
      <c r="MP7" s="11">
        <v>0.2</v>
      </c>
      <c r="MQ7" s="11">
        <v>0.2</v>
      </c>
      <c r="MR7" s="11">
        <v>0.2</v>
      </c>
      <c r="MS7" s="11">
        <v>0.2</v>
      </c>
      <c r="MT7" s="11">
        <v>0.2</v>
      </c>
      <c r="MU7" s="11">
        <v>0.2</v>
      </c>
      <c r="MV7" s="11">
        <v>0.2</v>
      </c>
      <c r="MW7" s="11">
        <v>0.2</v>
      </c>
      <c r="MX7" s="11">
        <v>0.2</v>
      </c>
      <c r="MY7" s="11">
        <v>0.2</v>
      </c>
      <c r="MZ7" s="11">
        <v>0.2</v>
      </c>
      <c r="NA7" s="11">
        <v>0.2</v>
      </c>
      <c r="NB7" s="11">
        <v>0.2</v>
      </c>
      <c r="NC7" s="11">
        <v>0.2</v>
      </c>
      <c r="ND7" s="11">
        <v>0.2</v>
      </c>
    </row>
    <row r="8" spans="1:368" x14ac:dyDescent="0.3">
      <c r="A8" s="2" t="s">
        <v>574</v>
      </c>
      <c r="B8" s="2">
        <v>453</v>
      </c>
      <c r="C8" s="2">
        <v>2737</v>
      </c>
      <c r="D8" s="2">
        <v>50</v>
      </c>
      <c r="E8" s="2">
        <v>35</v>
      </c>
      <c r="F8" s="2">
        <v>103</v>
      </c>
      <c r="G8" s="2">
        <v>8</v>
      </c>
      <c r="H8" s="2">
        <v>3240</v>
      </c>
      <c r="I8" s="2">
        <v>146</v>
      </c>
      <c r="N8" s="2" t="s">
        <v>332</v>
      </c>
      <c r="O8" s="2">
        <v>453</v>
      </c>
      <c r="P8" s="2">
        <v>35</v>
      </c>
      <c r="Q8" s="10" t="s">
        <v>332</v>
      </c>
      <c r="R8" s="11">
        <v>0.05</v>
      </c>
      <c r="S8" s="17">
        <f>GETPIVOTDATA("Somme de Nombre des défauts",$N$5,"detecter par","Assemblage mécanique")/P4</f>
        <v>6.9582504970178927E-2</v>
      </c>
      <c r="T8" s="17">
        <f>GETPIVOTDATA("Somme de Nombre des défauts",$N$5,"detecter par","Assemblage mécanique")/GETPIVOTDATA("Somme de Nombre des défauts",$N$6)</f>
        <v>0.23972602739726026</v>
      </c>
      <c r="V8" s="2" t="s">
        <v>46</v>
      </c>
      <c r="W8" s="2">
        <v>104</v>
      </c>
      <c r="X8" s="2">
        <v>5</v>
      </c>
      <c r="Y8" s="10" t="str">
        <f t="shared" si="0"/>
        <v>MONTAGE</v>
      </c>
      <c r="Z8" s="11">
        <v>0.05</v>
      </c>
      <c r="AA8" s="17">
        <f>GETPIVOTDATA("Somme de Nombre des défauts",$V$4,"Statu","Duplication","Origine de défaut","FAO")/R4</f>
        <v>2.5821596244131457E-2</v>
      </c>
      <c r="AB8" s="12">
        <v>0.99</v>
      </c>
      <c r="AC8" s="17">
        <f t="shared" si="2"/>
        <v>0.9741784037558685</v>
      </c>
      <c r="AL8" s="48" t="s">
        <v>624</v>
      </c>
      <c r="AM8" s="11">
        <v>0.94</v>
      </c>
      <c r="AN8" s="11">
        <v>0.94</v>
      </c>
      <c r="AO8" s="11">
        <v>0.94</v>
      </c>
      <c r="AP8" s="11">
        <v>0.94</v>
      </c>
      <c r="AQ8" s="11">
        <v>0.94</v>
      </c>
      <c r="AR8" s="11">
        <v>0.94</v>
      </c>
      <c r="AS8" s="11">
        <v>0.94</v>
      </c>
      <c r="AT8" s="11">
        <v>0.94</v>
      </c>
      <c r="AU8" s="11">
        <v>0.94</v>
      </c>
      <c r="AV8" s="11">
        <v>0.94</v>
      </c>
      <c r="AW8" s="11">
        <v>0.94</v>
      </c>
      <c r="AX8" s="11">
        <v>0.94</v>
      </c>
      <c r="AY8" s="11">
        <v>0.94</v>
      </c>
      <c r="AZ8" s="11">
        <v>0.94</v>
      </c>
      <c r="BA8" s="11">
        <v>0.94</v>
      </c>
      <c r="BB8" s="11">
        <v>0.94</v>
      </c>
      <c r="BC8" s="11">
        <v>0.94</v>
      </c>
      <c r="BD8" s="11">
        <v>0.94</v>
      </c>
      <c r="BE8" s="11">
        <v>0.94</v>
      </c>
      <c r="BF8" s="11">
        <v>0.94</v>
      </c>
      <c r="BG8" s="11">
        <v>0.94</v>
      </c>
      <c r="BH8" s="11">
        <v>0.94</v>
      </c>
      <c r="BI8" s="11">
        <v>0.94</v>
      </c>
      <c r="BJ8" s="11">
        <v>0.94</v>
      </c>
      <c r="BK8" s="11">
        <v>0.94</v>
      </c>
      <c r="BL8" s="11">
        <v>0.94</v>
      </c>
      <c r="BM8" s="11">
        <v>0.94</v>
      </c>
      <c r="BN8" s="11">
        <v>0.94</v>
      </c>
      <c r="BO8" s="11">
        <v>0.94</v>
      </c>
      <c r="BP8" s="11">
        <v>0.94</v>
      </c>
      <c r="BQ8" s="11">
        <v>0.94</v>
      </c>
      <c r="BR8" s="11">
        <v>0.94</v>
      </c>
      <c r="BS8" s="11">
        <v>0.94</v>
      </c>
      <c r="BT8" s="11">
        <v>0.94</v>
      </c>
      <c r="BU8" s="11">
        <v>0.94</v>
      </c>
      <c r="BV8" s="11">
        <v>0.94</v>
      </c>
      <c r="BW8" s="11">
        <v>0.94</v>
      </c>
      <c r="BX8" s="11">
        <v>0.94</v>
      </c>
      <c r="BY8" s="11">
        <v>0.94</v>
      </c>
      <c r="BZ8" s="11">
        <v>0.94</v>
      </c>
      <c r="CA8" s="11">
        <v>0.94</v>
      </c>
      <c r="CB8" s="11">
        <v>0.94</v>
      </c>
      <c r="CC8" s="11">
        <v>0.94</v>
      </c>
      <c r="CD8" s="11">
        <v>0.94</v>
      </c>
      <c r="CE8" s="11">
        <v>0.94</v>
      </c>
      <c r="CF8" s="11">
        <v>0.94</v>
      </c>
      <c r="CG8" s="11">
        <v>0.94</v>
      </c>
      <c r="CH8" s="11">
        <v>0.94</v>
      </c>
      <c r="CI8" s="11">
        <v>0.94</v>
      </c>
      <c r="CJ8" s="11">
        <v>0.94</v>
      </c>
      <c r="CK8" s="11">
        <v>0.94</v>
      </c>
      <c r="CL8" s="11">
        <v>0.94</v>
      </c>
      <c r="CM8" s="11">
        <v>0.94</v>
      </c>
      <c r="CN8" s="11">
        <v>0.94</v>
      </c>
      <c r="CO8" s="11">
        <v>0.94</v>
      </c>
      <c r="CP8" s="11">
        <v>0.94</v>
      </c>
      <c r="CQ8" s="11">
        <v>0.94</v>
      </c>
      <c r="CR8" s="11">
        <v>0.94</v>
      </c>
      <c r="CS8" s="11">
        <v>0.94</v>
      </c>
      <c r="CT8" s="11">
        <v>0.94</v>
      </c>
      <c r="CU8" s="11">
        <v>0.94</v>
      </c>
      <c r="CV8" s="11">
        <v>0.94</v>
      </c>
      <c r="CW8" s="11">
        <v>0.94</v>
      </c>
      <c r="CX8" s="11">
        <v>0.94</v>
      </c>
      <c r="CY8" s="11">
        <v>0.94</v>
      </c>
      <c r="CZ8" s="11">
        <v>0.94</v>
      </c>
      <c r="DA8" s="11">
        <v>0.94</v>
      </c>
      <c r="DB8" s="11">
        <v>0.94</v>
      </c>
      <c r="DC8" s="11">
        <v>0.94</v>
      </c>
      <c r="DD8" s="11">
        <v>0.94</v>
      </c>
      <c r="DE8" s="11">
        <v>0.94</v>
      </c>
      <c r="DF8" s="11">
        <v>0.94</v>
      </c>
      <c r="DG8" s="11">
        <v>0.94</v>
      </c>
      <c r="DH8" s="11">
        <v>0.94</v>
      </c>
      <c r="DI8" s="11">
        <v>0.94</v>
      </c>
      <c r="DJ8" s="11">
        <v>0.94</v>
      </c>
      <c r="DK8" s="11">
        <v>0.94</v>
      </c>
      <c r="DL8" s="11">
        <v>0.94</v>
      </c>
      <c r="DM8" s="11">
        <v>0.94</v>
      </c>
      <c r="DN8" s="11">
        <v>0.94</v>
      </c>
      <c r="DO8" s="11">
        <v>0.94</v>
      </c>
      <c r="DP8" s="11">
        <v>0.94</v>
      </c>
      <c r="DQ8" s="11">
        <v>0.94</v>
      </c>
      <c r="DR8" s="11">
        <v>0.94</v>
      </c>
      <c r="DS8" s="11">
        <v>0.94</v>
      </c>
      <c r="DT8" s="11">
        <v>0.94</v>
      </c>
      <c r="DU8" s="11">
        <v>0.94</v>
      </c>
      <c r="DV8" s="11">
        <v>0.94</v>
      </c>
      <c r="DW8" s="11">
        <v>0.94</v>
      </c>
      <c r="DX8" s="11">
        <v>0.94</v>
      </c>
      <c r="DY8" s="11">
        <v>0.94</v>
      </c>
      <c r="DZ8" s="11">
        <v>0.94</v>
      </c>
      <c r="EA8" s="11">
        <v>0.94</v>
      </c>
      <c r="EB8" s="11">
        <v>0.94</v>
      </c>
      <c r="EC8" s="11">
        <v>0.94</v>
      </c>
      <c r="ED8" s="11">
        <v>0.94</v>
      </c>
      <c r="EE8" s="11">
        <v>0.94</v>
      </c>
      <c r="EF8" s="11">
        <v>0.94</v>
      </c>
      <c r="EG8" s="11">
        <v>0.94</v>
      </c>
      <c r="EH8" s="11">
        <v>0.94</v>
      </c>
      <c r="EI8" s="11">
        <v>0.94</v>
      </c>
      <c r="EJ8" s="11">
        <v>0.94</v>
      </c>
      <c r="EK8" s="11">
        <v>0.94</v>
      </c>
      <c r="EL8" s="11">
        <v>0.94</v>
      </c>
      <c r="EM8" s="11">
        <v>0.94</v>
      </c>
      <c r="EN8" s="11">
        <v>0.94</v>
      </c>
      <c r="EO8" s="11">
        <v>0.94</v>
      </c>
      <c r="EP8" s="11">
        <v>0.94</v>
      </c>
      <c r="EQ8" s="11">
        <v>0.94</v>
      </c>
      <c r="ER8" s="11">
        <v>0.94</v>
      </c>
      <c r="ES8" s="11">
        <v>0.94</v>
      </c>
      <c r="ET8" s="11">
        <v>0.94</v>
      </c>
      <c r="EU8" s="11">
        <v>0.94</v>
      </c>
      <c r="EV8" s="11">
        <v>0.94</v>
      </c>
      <c r="EW8" s="11">
        <v>0.94</v>
      </c>
      <c r="EX8" s="11">
        <v>0.94</v>
      </c>
      <c r="EY8" s="11">
        <v>0.94</v>
      </c>
      <c r="EZ8" s="11">
        <v>0.94</v>
      </c>
      <c r="FA8" s="11">
        <v>0.94</v>
      </c>
      <c r="FB8" s="11">
        <v>0.94</v>
      </c>
      <c r="FC8" s="11">
        <v>0.94</v>
      </c>
      <c r="FD8" s="11">
        <v>0.94</v>
      </c>
      <c r="FE8" s="11">
        <v>0.94</v>
      </c>
      <c r="FF8" s="11">
        <v>0.94</v>
      </c>
      <c r="FG8" s="11">
        <v>0.94</v>
      </c>
      <c r="FH8" s="11">
        <v>0.94</v>
      </c>
      <c r="FI8" s="11">
        <v>0.94</v>
      </c>
      <c r="FJ8" s="11">
        <v>0.94</v>
      </c>
      <c r="FK8" s="11">
        <v>0.94</v>
      </c>
      <c r="FL8" s="11">
        <v>0.94</v>
      </c>
      <c r="FM8" s="11">
        <v>0.94</v>
      </c>
      <c r="FN8" s="11">
        <v>0.94</v>
      </c>
      <c r="FO8" s="11">
        <v>0.94</v>
      </c>
      <c r="FP8" s="11">
        <v>0.94</v>
      </c>
      <c r="FQ8" s="11">
        <v>0.94</v>
      </c>
      <c r="FR8" s="11">
        <v>0.94</v>
      </c>
      <c r="FS8" s="11">
        <v>0.94</v>
      </c>
      <c r="FT8" s="11">
        <v>0.94</v>
      </c>
      <c r="FU8" s="11">
        <v>0.94</v>
      </c>
      <c r="FV8" s="11">
        <v>0.94</v>
      </c>
      <c r="FW8" s="11">
        <v>0.94</v>
      </c>
      <c r="FX8" s="11">
        <v>0.94</v>
      </c>
      <c r="FY8" s="11">
        <v>0.94</v>
      </c>
      <c r="FZ8" s="11">
        <v>0.94</v>
      </c>
      <c r="GA8" s="11">
        <v>0.94</v>
      </c>
      <c r="GB8" s="11">
        <v>0.94</v>
      </c>
      <c r="GC8" s="11">
        <v>0.94</v>
      </c>
      <c r="GD8" s="11">
        <v>0.94</v>
      </c>
      <c r="GE8" s="11">
        <v>0.94</v>
      </c>
      <c r="GF8" s="11">
        <v>0.94</v>
      </c>
      <c r="GG8" s="11">
        <v>0.94</v>
      </c>
      <c r="GH8" s="11">
        <v>0.94</v>
      </c>
      <c r="GI8" s="11">
        <v>0.94</v>
      </c>
      <c r="GJ8" s="11">
        <v>0.94</v>
      </c>
      <c r="GK8" s="11">
        <v>0.94</v>
      </c>
      <c r="GL8" s="11">
        <v>0.94</v>
      </c>
      <c r="GM8" s="11">
        <v>0.94</v>
      </c>
      <c r="GN8" s="11">
        <v>0.94</v>
      </c>
      <c r="GO8" s="11">
        <v>0.94</v>
      </c>
      <c r="GP8" s="11">
        <v>0.94</v>
      </c>
      <c r="GQ8" s="11">
        <v>0.94</v>
      </c>
      <c r="GR8" s="11">
        <v>0.94</v>
      </c>
      <c r="GS8" s="11">
        <v>0.94</v>
      </c>
      <c r="GT8" s="11">
        <v>0.94</v>
      </c>
      <c r="GU8" s="11">
        <v>0.94</v>
      </c>
      <c r="GV8" s="11">
        <v>0.94</v>
      </c>
      <c r="GW8" s="11">
        <v>0.94</v>
      </c>
      <c r="GX8" s="11">
        <v>0.94</v>
      </c>
      <c r="GY8" s="11">
        <v>0.94</v>
      </c>
      <c r="GZ8" s="11">
        <v>0.94</v>
      </c>
      <c r="HA8" s="11">
        <v>0.94</v>
      </c>
      <c r="HB8" s="11">
        <v>0.94</v>
      </c>
      <c r="HC8" s="11">
        <v>0.94</v>
      </c>
      <c r="HD8" s="11">
        <v>0.94</v>
      </c>
      <c r="HE8" s="11">
        <v>0.94</v>
      </c>
      <c r="HF8" s="11">
        <v>0.94</v>
      </c>
      <c r="HG8" s="11">
        <v>0.94</v>
      </c>
      <c r="HH8" s="11">
        <v>0.94</v>
      </c>
      <c r="HI8" s="11">
        <v>0.94</v>
      </c>
      <c r="HJ8" s="11">
        <v>0.94</v>
      </c>
      <c r="HK8" s="11">
        <v>0.94</v>
      </c>
      <c r="HL8" s="11">
        <v>0.94</v>
      </c>
      <c r="HM8" s="11">
        <v>0.94</v>
      </c>
      <c r="HN8" s="11">
        <v>0.94</v>
      </c>
      <c r="HO8" s="11">
        <v>0.94</v>
      </c>
      <c r="HP8" s="11">
        <v>0.94</v>
      </c>
      <c r="HQ8" s="11">
        <v>0.94</v>
      </c>
      <c r="HR8" s="11">
        <v>0.94</v>
      </c>
      <c r="HS8" s="11">
        <v>0.94</v>
      </c>
      <c r="HT8" s="11">
        <v>0.94</v>
      </c>
      <c r="HU8" s="11">
        <v>0.94</v>
      </c>
      <c r="HV8" s="11">
        <v>0.94</v>
      </c>
      <c r="HW8" s="11">
        <v>0.94</v>
      </c>
      <c r="HX8" s="11">
        <v>0.94</v>
      </c>
      <c r="HY8" s="11">
        <v>0.94</v>
      </c>
      <c r="HZ8" s="11">
        <v>0.94</v>
      </c>
      <c r="IA8" s="11">
        <v>0.94</v>
      </c>
      <c r="IB8" s="11">
        <v>0.94</v>
      </c>
      <c r="IC8" s="11">
        <v>0.94</v>
      </c>
      <c r="ID8" s="11">
        <v>0.94</v>
      </c>
      <c r="IE8" s="11">
        <v>0.94</v>
      </c>
      <c r="IF8" s="11">
        <v>0.94</v>
      </c>
      <c r="IG8" s="11">
        <v>0.94</v>
      </c>
      <c r="IH8" s="11">
        <v>0.94</v>
      </c>
      <c r="II8" s="11">
        <v>0.94</v>
      </c>
      <c r="IJ8" s="11">
        <v>0.94</v>
      </c>
      <c r="IK8" s="11">
        <v>0.94</v>
      </c>
      <c r="IL8" s="11">
        <v>0.94</v>
      </c>
      <c r="IM8" s="11">
        <v>0.94</v>
      </c>
      <c r="IN8" s="11">
        <v>0.94</v>
      </c>
      <c r="IO8" s="11">
        <v>0.94</v>
      </c>
      <c r="IP8" s="11">
        <v>0.94</v>
      </c>
      <c r="IQ8" s="11">
        <v>0.94</v>
      </c>
      <c r="IR8" s="11">
        <v>0.94</v>
      </c>
      <c r="IS8" s="11">
        <v>0.94</v>
      </c>
      <c r="IT8" s="11">
        <v>0.94</v>
      </c>
      <c r="IU8" s="11">
        <v>0.94</v>
      </c>
      <c r="IV8" s="11">
        <v>0.94</v>
      </c>
      <c r="IW8" s="11">
        <v>0.94</v>
      </c>
      <c r="IX8" s="11">
        <v>0.94</v>
      </c>
      <c r="IY8" s="11">
        <v>0.94</v>
      </c>
      <c r="IZ8" s="11">
        <v>0.94</v>
      </c>
      <c r="JA8" s="11">
        <v>0.94</v>
      </c>
      <c r="JB8" s="11">
        <v>0.94</v>
      </c>
      <c r="JC8" s="11">
        <v>0.94</v>
      </c>
      <c r="JD8" s="11">
        <v>0.94</v>
      </c>
      <c r="JE8" s="11">
        <v>0.94</v>
      </c>
      <c r="JF8" s="11">
        <v>0.94</v>
      </c>
      <c r="JG8" s="11">
        <v>0.94</v>
      </c>
      <c r="JH8" s="11">
        <v>0.94</v>
      </c>
      <c r="JI8" s="11">
        <v>0.94</v>
      </c>
      <c r="JJ8" s="11">
        <v>0.94</v>
      </c>
      <c r="JK8" s="11">
        <v>0.94</v>
      </c>
      <c r="JL8" s="11">
        <v>0.94</v>
      </c>
      <c r="JM8" s="11">
        <v>0.94</v>
      </c>
      <c r="JN8" s="11">
        <v>0.94</v>
      </c>
      <c r="JO8" s="11">
        <v>0.94</v>
      </c>
      <c r="JP8" s="11">
        <v>0.94</v>
      </c>
      <c r="JQ8" s="11">
        <v>0.94</v>
      </c>
      <c r="JR8" s="11">
        <v>0.94</v>
      </c>
      <c r="JS8" s="11">
        <v>0.94</v>
      </c>
      <c r="JT8" s="11">
        <v>0.94</v>
      </c>
      <c r="JU8" s="11">
        <v>0.94</v>
      </c>
      <c r="JV8" s="11">
        <v>0.94</v>
      </c>
      <c r="JW8" s="11">
        <v>0.94</v>
      </c>
      <c r="JX8" s="11">
        <v>0.94</v>
      </c>
      <c r="JY8" s="11">
        <v>0.94</v>
      </c>
      <c r="JZ8" s="11">
        <v>0.94</v>
      </c>
      <c r="KA8" s="11">
        <v>0.94</v>
      </c>
      <c r="KB8" s="11">
        <v>0.94</v>
      </c>
      <c r="KC8" s="11">
        <v>0.94</v>
      </c>
      <c r="KD8" s="11">
        <v>0.94</v>
      </c>
      <c r="KE8" s="11">
        <v>0.94</v>
      </c>
      <c r="KF8" s="11">
        <v>0.94</v>
      </c>
      <c r="KG8" s="11">
        <v>0.94</v>
      </c>
      <c r="KH8" s="11">
        <v>0.94</v>
      </c>
      <c r="KI8" s="11">
        <v>0.94</v>
      </c>
      <c r="KJ8" s="11">
        <v>0.94</v>
      </c>
      <c r="KK8" s="11">
        <v>0.94</v>
      </c>
      <c r="KL8" s="11">
        <v>0.94</v>
      </c>
      <c r="KM8" s="11">
        <v>0.94</v>
      </c>
      <c r="KN8" s="11">
        <v>0.94</v>
      </c>
      <c r="KO8" s="11">
        <v>0.94</v>
      </c>
      <c r="KP8" s="11">
        <v>0.94</v>
      </c>
      <c r="KQ8" s="11">
        <v>0.94</v>
      </c>
      <c r="KR8" s="11">
        <v>0.94</v>
      </c>
      <c r="KS8" s="11">
        <v>0.94</v>
      </c>
      <c r="KT8" s="11">
        <v>0.94</v>
      </c>
      <c r="KU8" s="11">
        <v>0.94</v>
      </c>
      <c r="KV8" s="11">
        <v>0.94</v>
      </c>
      <c r="KW8" s="11">
        <v>0.94</v>
      </c>
      <c r="KX8" s="11">
        <v>0.94</v>
      </c>
      <c r="KY8" s="11">
        <v>0.94</v>
      </c>
      <c r="KZ8" s="11">
        <v>0.94</v>
      </c>
      <c r="LA8" s="11">
        <v>0.94</v>
      </c>
      <c r="LB8" s="11">
        <v>0.94</v>
      </c>
      <c r="LC8" s="11">
        <v>0.94</v>
      </c>
      <c r="LD8" s="11">
        <v>0.94</v>
      </c>
      <c r="LE8" s="11">
        <v>0.94</v>
      </c>
      <c r="LF8" s="11">
        <v>0.94</v>
      </c>
      <c r="LG8" s="11">
        <v>0.94</v>
      </c>
      <c r="LH8" s="11">
        <v>0.94</v>
      </c>
      <c r="LI8" s="11">
        <v>0.94</v>
      </c>
      <c r="LJ8" s="11">
        <v>0.94</v>
      </c>
      <c r="LK8" s="11">
        <v>0.94</v>
      </c>
      <c r="LL8" s="11">
        <v>0.94</v>
      </c>
      <c r="LM8" s="11">
        <v>0.94</v>
      </c>
      <c r="LN8" s="11">
        <v>0.94</v>
      </c>
      <c r="LO8" s="11">
        <v>0.94</v>
      </c>
      <c r="LP8" s="11">
        <v>0.94</v>
      </c>
      <c r="LQ8" s="11">
        <v>0.94</v>
      </c>
      <c r="LR8" s="11">
        <v>0.94</v>
      </c>
      <c r="LS8" s="11">
        <v>0.94</v>
      </c>
      <c r="LT8" s="11">
        <v>0.94</v>
      </c>
      <c r="LU8" s="11">
        <v>0.94</v>
      </c>
      <c r="LV8" s="11">
        <v>0.94</v>
      </c>
      <c r="LW8" s="11">
        <v>0.94</v>
      </c>
      <c r="LX8" s="11">
        <v>0.94</v>
      </c>
      <c r="LY8" s="11">
        <v>0.94</v>
      </c>
      <c r="LZ8" s="11">
        <v>0.94</v>
      </c>
      <c r="MA8" s="11">
        <v>0.94</v>
      </c>
      <c r="MB8" s="11">
        <v>0.94</v>
      </c>
      <c r="MC8" s="11">
        <v>0.94</v>
      </c>
      <c r="MD8" s="11">
        <v>0.94</v>
      </c>
      <c r="ME8" s="11">
        <v>0.94</v>
      </c>
      <c r="MF8" s="11">
        <v>0.94</v>
      </c>
      <c r="MG8" s="11">
        <v>0.94</v>
      </c>
      <c r="MH8" s="11">
        <v>0.94</v>
      </c>
      <c r="MI8" s="11">
        <v>0.94</v>
      </c>
      <c r="MJ8" s="11">
        <v>0.94</v>
      </c>
      <c r="MK8" s="11">
        <v>0.94</v>
      </c>
      <c r="ML8" s="11">
        <v>0.94</v>
      </c>
      <c r="MM8" s="11">
        <v>0.94</v>
      </c>
      <c r="MN8" s="11">
        <v>0.94</v>
      </c>
      <c r="MO8" s="11">
        <v>0.94</v>
      </c>
      <c r="MP8" s="11">
        <v>0.94</v>
      </c>
      <c r="MQ8" s="11">
        <v>0.94</v>
      </c>
      <c r="MR8" s="11">
        <v>0.94</v>
      </c>
      <c r="MS8" s="11">
        <v>0.94</v>
      </c>
      <c r="MT8" s="11">
        <v>0.94</v>
      </c>
      <c r="MU8" s="11">
        <v>0.94</v>
      </c>
      <c r="MV8" s="11">
        <v>0.94</v>
      </c>
      <c r="MW8" s="11">
        <v>0.94</v>
      </c>
      <c r="MX8" s="11">
        <v>0.94</v>
      </c>
      <c r="MY8" s="11">
        <v>0.94</v>
      </c>
      <c r="MZ8" s="11">
        <v>0.94</v>
      </c>
      <c r="NA8" s="11">
        <v>0.94</v>
      </c>
      <c r="NB8" s="11">
        <v>0.94</v>
      </c>
      <c r="NC8" s="11">
        <v>0.94</v>
      </c>
      <c r="ND8" s="11">
        <v>0.94</v>
      </c>
    </row>
    <row r="9" spans="1:368" x14ac:dyDescent="0.3">
      <c r="A9" s="9">
        <v>46054</v>
      </c>
      <c r="E9" s="2">
        <v>0</v>
      </c>
      <c r="I9" s="2">
        <v>0</v>
      </c>
      <c r="N9" s="2" t="s">
        <v>286</v>
      </c>
      <c r="O9" s="2">
        <v>50</v>
      </c>
      <c r="P9" s="2">
        <v>8</v>
      </c>
      <c r="Q9" s="10" t="s">
        <v>274</v>
      </c>
      <c r="R9" s="11">
        <v>0.05</v>
      </c>
      <c r="S9" s="17">
        <f>GETPIVOTDATA("Somme de Nombre des défauts",$N$5,"detecter par","Contrôle technique")/P4</f>
        <v>1.5904572564612324E-2</v>
      </c>
      <c r="T9" s="17">
        <f>GETPIVOTDATA("Somme de Nombre des défauts",$N$5,"detecter par","contrôle technique")/GETPIVOTDATA("Somme de Nombre des défauts",$N$6)</f>
        <v>5.4794520547945202E-2</v>
      </c>
      <c r="V9" s="2" t="s">
        <v>14</v>
      </c>
      <c r="W9" s="2">
        <v>28</v>
      </c>
      <c r="X9" s="2">
        <v>3</v>
      </c>
      <c r="Y9" s="10" t="str">
        <f t="shared" si="0"/>
        <v>CAO</v>
      </c>
      <c r="Z9" s="11">
        <v>0.01</v>
      </c>
      <c r="AA9" s="17">
        <f>GETPIVOTDATA("Somme de Nombre des défauts",$V$4,"Statu","Duplication","Origine de défaut","MONTAGE")/R4</f>
        <v>1.1737089201877934E-2</v>
      </c>
      <c r="AB9" s="12">
        <v>0.97</v>
      </c>
      <c r="AC9" s="17">
        <f t="shared" si="2"/>
        <v>0.98826291079812212</v>
      </c>
      <c r="AL9" s="48" t="s">
        <v>625</v>
      </c>
      <c r="AM9" s="11">
        <v>0.9</v>
      </c>
      <c r="AN9" s="11">
        <v>0.9</v>
      </c>
      <c r="AO9" s="11">
        <v>0.9</v>
      </c>
      <c r="AP9" s="11">
        <v>0.9</v>
      </c>
      <c r="AQ9" s="11">
        <v>0.9</v>
      </c>
      <c r="AR9" s="11">
        <v>0.9</v>
      </c>
      <c r="AS9" s="11">
        <v>0.9</v>
      </c>
      <c r="AT9" s="11">
        <v>0.9</v>
      </c>
      <c r="AU9" s="11">
        <v>0.9</v>
      </c>
      <c r="AV9" s="11">
        <v>0.9</v>
      </c>
      <c r="AW9" s="11">
        <v>0.9</v>
      </c>
      <c r="AX9" s="11">
        <v>0.9</v>
      </c>
      <c r="AY9" s="11">
        <v>0.9</v>
      </c>
      <c r="AZ9" s="11">
        <v>0.9</v>
      </c>
      <c r="BA9" s="11">
        <v>0.9</v>
      </c>
      <c r="BB9" s="11">
        <v>0.9</v>
      </c>
      <c r="BC9" s="11">
        <v>0.9</v>
      </c>
      <c r="BD9" s="11">
        <v>0.9</v>
      </c>
      <c r="BE9" s="11">
        <v>0.9</v>
      </c>
      <c r="BF9" s="11">
        <v>0.9</v>
      </c>
      <c r="BG9" s="11">
        <v>0.9</v>
      </c>
      <c r="BH9" s="11">
        <v>0.9</v>
      </c>
      <c r="BI9" s="11">
        <v>0.9</v>
      </c>
      <c r="BJ9" s="11">
        <v>0.9</v>
      </c>
      <c r="BK9" s="11">
        <v>0.9</v>
      </c>
      <c r="BL9" s="11">
        <v>0.9</v>
      </c>
      <c r="BM9" s="11">
        <v>0.9</v>
      </c>
      <c r="BN9" s="11">
        <v>0.9</v>
      </c>
      <c r="BO9" s="11">
        <v>0.9</v>
      </c>
      <c r="BP9" s="11">
        <v>0.9</v>
      </c>
      <c r="BQ9" s="11">
        <v>0.9</v>
      </c>
      <c r="BR9" s="11">
        <v>0.9</v>
      </c>
      <c r="BS9" s="11">
        <v>0.9</v>
      </c>
      <c r="BT9" s="11">
        <v>0.9</v>
      </c>
      <c r="BU9" s="11">
        <v>0.9</v>
      </c>
      <c r="BV9" s="11">
        <v>0.9</v>
      </c>
      <c r="BW9" s="11">
        <v>0.9</v>
      </c>
      <c r="BX9" s="11">
        <v>0.9</v>
      </c>
      <c r="BY9" s="11">
        <v>0.9</v>
      </c>
      <c r="BZ9" s="11">
        <v>0.9</v>
      </c>
      <c r="CA9" s="11">
        <v>0.9</v>
      </c>
      <c r="CB9" s="11">
        <v>0.9</v>
      </c>
      <c r="CC9" s="11">
        <v>0.9</v>
      </c>
      <c r="CD9" s="11">
        <v>0.9</v>
      </c>
      <c r="CE9" s="11">
        <v>0.9</v>
      </c>
      <c r="CF9" s="11">
        <v>0.9</v>
      </c>
      <c r="CG9" s="11">
        <v>0.9</v>
      </c>
      <c r="CH9" s="11">
        <v>0.9</v>
      </c>
      <c r="CI9" s="11">
        <v>0.9</v>
      </c>
      <c r="CJ9" s="11">
        <v>0.9</v>
      </c>
      <c r="CK9" s="11">
        <v>0.9</v>
      </c>
      <c r="CL9" s="11">
        <v>0.9</v>
      </c>
      <c r="CM9" s="11">
        <v>0.9</v>
      </c>
      <c r="CN9" s="11">
        <v>0.9</v>
      </c>
      <c r="CO9" s="11">
        <v>0.9</v>
      </c>
      <c r="CP9" s="11">
        <v>0.9</v>
      </c>
      <c r="CQ9" s="11">
        <v>0.9</v>
      </c>
      <c r="CR9" s="11">
        <v>0.9</v>
      </c>
      <c r="CS9" s="11">
        <v>0.9</v>
      </c>
      <c r="CT9" s="11">
        <v>0.9</v>
      </c>
      <c r="CU9" s="11">
        <v>0.9</v>
      </c>
      <c r="CV9" s="11">
        <v>0.9</v>
      </c>
      <c r="CW9" s="11">
        <v>0.9</v>
      </c>
      <c r="CX9" s="11">
        <v>0.9</v>
      </c>
      <c r="CY9" s="11">
        <v>0.9</v>
      </c>
      <c r="CZ9" s="11">
        <v>0.9</v>
      </c>
      <c r="DA9" s="11">
        <v>0.9</v>
      </c>
      <c r="DB9" s="11">
        <v>0.9</v>
      </c>
      <c r="DC9" s="11">
        <v>0.9</v>
      </c>
      <c r="DD9" s="11">
        <v>0.9</v>
      </c>
      <c r="DE9" s="11">
        <v>0.9</v>
      </c>
      <c r="DF9" s="11">
        <v>0.9</v>
      </c>
      <c r="DG9" s="11">
        <v>0.9</v>
      </c>
      <c r="DH9" s="11">
        <v>0.9</v>
      </c>
      <c r="DI9" s="11">
        <v>0.9</v>
      </c>
      <c r="DJ9" s="11">
        <v>0.9</v>
      </c>
      <c r="DK9" s="11">
        <v>0.9</v>
      </c>
      <c r="DL9" s="11">
        <v>0.9</v>
      </c>
      <c r="DM9" s="11">
        <v>0.9</v>
      </c>
      <c r="DN9" s="11">
        <v>0.9</v>
      </c>
      <c r="DO9" s="11">
        <v>0.9</v>
      </c>
      <c r="DP9" s="11">
        <v>0.9</v>
      </c>
      <c r="DQ9" s="11">
        <v>0.9</v>
      </c>
      <c r="DR9" s="11">
        <v>0.9</v>
      </c>
      <c r="DS9" s="11">
        <v>0.9</v>
      </c>
      <c r="DT9" s="11">
        <v>0.9</v>
      </c>
      <c r="DU9" s="11">
        <v>0.9</v>
      </c>
      <c r="DV9" s="11">
        <v>0.9</v>
      </c>
      <c r="DW9" s="11">
        <v>0.9</v>
      </c>
      <c r="DX9" s="11">
        <v>0.9</v>
      </c>
      <c r="DY9" s="11">
        <v>0.9</v>
      </c>
      <c r="DZ9" s="11">
        <v>0.9</v>
      </c>
      <c r="EA9" s="11">
        <v>0.9</v>
      </c>
      <c r="EB9" s="11">
        <v>0.9</v>
      </c>
      <c r="EC9" s="11">
        <v>0.9</v>
      </c>
      <c r="ED9" s="11">
        <v>0.9</v>
      </c>
      <c r="EE9" s="11">
        <v>0.9</v>
      </c>
      <c r="EF9" s="11">
        <v>0.9</v>
      </c>
      <c r="EG9" s="11">
        <v>0.9</v>
      </c>
      <c r="EH9" s="11">
        <v>0.9</v>
      </c>
      <c r="EI9" s="11">
        <v>0.9</v>
      </c>
      <c r="EJ9" s="11">
        <v>0.9</v>
      </c>
      <c r="EK9" s="11">
        <v>0.9</v>
      </c>
      <c r="EL9" s="11">
        <v>0.9</v>
      </c>
      <c r="EM9" s="11">
        <v>0.9</v>
      </c>
      <c r="EN9" s="11">
        <v>0.9</v>
      </c>
      <c r="EO9" s="11">
        <v>0.9</v>
      </c>
      <c r="EP9" s="11">
        <v>0.9</v>
      </c>
      <c r="EQ9" s="11">
        <v>0.9</v>
      </c>
      <c r="ER9" s="11">
        <v>0.9</v>
      </c>
      <c r="ES9" s="11">
        <v>0.9</v>
      </c>
      <c r="ET9" s="11">
        <v>0.9</v>
      </c>
      <c r="EU9" s="11">
        <v>0.9</v>
      </c>
      <c r="EV9" s="11">
        <v>0.9</v>
      </c>
      <c r="EW9" s="11">
        <v>0.9</v>
      </c>
      <c r="EX9" s="11">
        <v>0.9</v>
      </c>
      <c r="EY9" s="11">
        <v>0.9</v>
      </c>
      <c r="EZ9" s="11">
        <v>0.9</v>
      </c>
      <c r="FA9" s="11">
        <v>0.9</v>
      </c>
      <c r="FB9" s="11">
        <v>0.9</v>
      </c>
      <c r="FC9" s="11">
        <v>0.9</v>
      </c>
      <c r="FD9" s="11">
        <v>0.9</v>
      </c>
      <c r="FE9" s="11">
        <v>0.9</v>
      </c>
      <c r="FF9" s="11">
        <v>0.9</v>
      </c>
      <c r="FG9" s="11">
        <v>0.9</v>
      </c>
      <c r="FH9" s="11">
        <v>0.9</v>
      </c>
      <c r="FI9" s="11">
        <v>0.9</v>
      </c>
      <c r="FJ9" s="11">
        <v>0.9</v>
      </c>
      <c r="FK9" s="11">
        <v>0.9</v>
      </c>
      <c r="FL9" s="11">
        <v>0.9</v>
      </c>
      <c r="FM9" s="11">
        <v>0.9</v>
      </c>
      <c r="FN9" s="11">
        <v>0.9</v>
      </c>
      <c r="FO9" s="11">
        <v>0.9</v>
      </c>
      <c r="FP9" s="11">
        <v>0.9</v>
      </c>
      <c r="FQ9" s="11">
        <v>0.9</v>
      </c>
      <c r="FR9" s="11">
        <v>0.9</v>
      </c>
      <c r="FS9" s="11">
        <v>0.9</v>
      </c>
      <c r="FT9" s="11">
        <v>0.9</v>
      </c>
      <c r="FU9" s="11">
        <v>0.9</v>
      </c>
      <c r="FV9" s="11">
        <v>0.9</v>
      </c>
      <c r="FW9" s="11">
        <v>0.9</v>
      </c>
      <c r="FX9" s="11">
        <v>0.9</v>
      </c>
      <c r="FY9" s="11">
        <v>0.9</v>
      </c>
      <c r="FZ9" s="11">
        <v>0.9</v>
      </c>
      <c r="GA9" s="11">
        <v>0.9</v>
      </c>
      <c r="GB9" s="11">
        <v>0.9</v>
      </c>
      <c r="GC9" s="11">
        <v>0.9</v>
      </c>
      <c r="GD9" s="11">
        <v>0.9</v>
      </c>
      <c r="GE9" s="11">
        <v>0.9</v>
      </c>
      <c r="GF9" s="11">
        <v>0.9</v>
      </c>
      <c r="GG9" s="11">
        <v>0.9</v>
      </c>
      <c r="GH9" s="11">
        <v>0.9</v>
      </c>
      <c r="GI9" s="11">
        <v>0.9</v>
      </c>
      <c r="GJ9" s="11">
        <v>0.9</v>
      </c>
      <c r="GK9" s="11">
        <v>0.9</v>
      </c>
      <c r="GL9" s="11">
        <v>0.9</v>
      </c>
      <c r="GM9" s="11">
        <v>0.9</v>
      </c>
      <c r="GN9" s="11">
        <v>0.9</v>
      </c>
      <c r="GO9" s="11">
        <v>0.9</v>
      </c>
      <c r="GP9" s="11">
        <v>0.9</v>
      </c>
      <c r="GQ9" s="11">
        <v>0.9</v>
      </c>
      <c r="GR9" s="11">
        <v>0.9</v>
      </c>
      <c r="GS9" s="11">
        <v>0.9</v>
      </c>
      <c r="GT9" s="11">
        <v>0.9</v>
      </c>
      <c r="GU9" s="11">
        <v>0.9</v>
      </c>
      <c r="GV9" s="11">
        <v>0.9</v>
      </c>
      <c r="GW9" s="11">
        <v>0.9</v>
      </c>
      <c r="GX9" s="11">
        <v>0.9</v>
      </c>
      <c r="GY9" s="11">
        <v>0.9</v>
      </c>
      <c r="GZ9" s="11">
        <v>0.9</v>
      </c>
      <c r="HA9" s="11">
        <v>0.9</v>
      </c>
      <c r="HB9" s="11">
        <v>0.9</v>
      </c>
      <c r="HC9" s="11">
        <v>0.9</v>
      </c>
      <c r="HD9" s="11">
        <v>0.9</v>
      </c>
      <c r="HE9" s="11">
        <v>0.9</v>
      </c>
      <c r="HF9" s="11">
        <v>0.9</v>
      </c>
      <c r="HG9" s="11">
        <v>0.9</v>
      </c>
      <c r="HH9" s="11">
        <v>0.9</v>
      </c>
      <c r="HI9" s="11">
        <v>0.9</v>
      </c>
      <c r="HJ9" s="11">
        <v>0.9</v>
      </c>
      <c r="HK9" s="11">
        <v>0.9</v>
      </c>
      <c r="HL9" s="11">
        <v>0.9</v>
      </c>
      <c r="HM9" s="11">
        <v>0.9</v>
      </c>
      <c r="HN9" s="11">
        <v>0.9</v>
      </c>
      <c r="HO9" s="11">
        <v>0.9</v>
      </c>
      <c r="HP9" s="11">
        <v>0.9</v>
      </c>
      <c r="HQ9" s="11">
        <v>0.9</v>
      </c>
      <c r="HR9" s="11">
        <v>0.9</v>
      </c>
      <c r="HS9" s="11">
        <v>0.9</v>
      </c>
      <c r="HT9" s="11">
        <v>0.9</v>
      </c>
      <c r="HU9" s="11">
        <v>0.9</v>
      </c>
      <c r="HV9" s="11">
        <v>0.9</v>
      </c>
      <c r="HW9" s="11">
        <v>0.9</v>
      </c>
      <c r="HX9" s="11">
        <v>0.9</v>
      </c>
      <c r="HY9" s="11">
        <v>0.9</v>
      </c>
      <c r="HZ9" s="11">
        <v>0.9</v>
      </c>
      <c r="IA9" s="11">
        <v>0.9</v>
      </c>
      <c r="IB9" s="11">
        <v>0.9</v>
      </c>
      <c r="IC9" s="11">
        <v>0.9</v>
      </c>
      <c r="ID9" s="11">
        <v>0.9</v>
      </c>
      <c r="IE9" s="11">
        <v>0.9</v>
      </c>
      <c r="IF9" s="11">
        <v>0.9</v>
      </c>
      <c r="IG9" s="11">
        <v>0.9</v>
      </c>
      <c r="IH9" s="11">
        <v>0.9</v>
      </c>
      <c r="II9" s="11">
        <v>0.9</v>
      </c>
      <c r="IJ9" s="11">
        <v>0.9</v>
      </c>
      <c r="IK9" s="11">
        <v>0.9</v>
      </c>
      <c r="IL9" s="11">
        <v>0.9</v>
      </c>
      <c r="IM9" s="11">
        <v>0.9</v>
      </c>
      <c r="IN9" s="11">
        <v>0.9</v>
      </c>
      <c r="IO9" s="11">
        <v>0.9</v>
      </c>
      <c r="IP9" s="11">
        <v>0.9</v>
      </c>
      <c r="IQ9" s="11">
        <v>0.9</v>
      </c>
      <c r="IR9" s="11">
        <v>0.9</v>
      </c>
      <c r="IS9" s="11">
        <v>0.9</v>
      </c>
      <c r="IT9" s="11">
        <v>0.9</v>
      </c>
      <c r="IU9" s="11">
        <v>0.9</v>
      </c>
      <c r="IV9" s="11">
        <v>0.9</v>
      </c>
      <c r="IW9" s="11">
        <v>0.9</v>
      </c>
      <c r="IX9" s="11">
        <v>0.9</v>
      </c>
      <c r="IY9" s="11">
        <v>0.9</v>
      </c>
      <c r="IZ9" s="11">
        <v>0.9</v>
      </c>
      <c r="JA9" s="11">
        <v>0.9</v>
      </c>
      <c r="JB9" s="11">
        <v>0.9</v>
      </c>
      <c r="JC9" s="11">
        <v>0.9</v>
      </c>
      <c r="JD9" s="11">
        <v>0.9</v>
      </c>
      <c r="JE9" s="11">
        <v>0.9</v>
      </c>
      <c r="JF9" s="11">
        <v>0.9</v>
      </c>
      <c r="JG9" s="11">
        <v>0.9</v>
      </c>
      <c r="JH9" s="11">
        <v>0.9</v>
      </c>
      <c r="JI9" s="11">
        <v>0.9</v>
      </c>
      <c r="JJ9" s="11">
        <v>0.9</v>
      </c>
      <c r="JK9" s="11">
        <v>0.9</v>
      </c>
      <c r="JL9" s="11">
        <v>0.9</v>
      </c>
      <c r="JM9" s="11">
        <v>0.9</v>
      </c>
      <c r="JN9" s="11">
        <v>0.9</v>
      </c>
      <c r="JO9" s="11">
        <v>0.9</v>
      </c>
      <c r="JP9" s="11">
        <v>0.9</v>
      </c>
      <c r="JQ9" s="11">
        <v>0.9</v>
      </c>
      <c r="JR9" s="11">
        <v>0.9</v>
      </c>
      <c r="JS9" s="11">
        <v>0.9</v>
      </c>
      <c r="JT9" s="11">
        <v>0.9</v>
      </c>
      <c r="JU9" s="11">
        <v>0.9</v>
      </c>
      <c r="JV9" s="11">
        <v>0.9</v>
      </c>
      <c r="JW9" s="11">
        <v>0.9</v>
      </c>
      <c r="JX9" s="11">
        <v>0.9</v>
      </c>
      <c r="JY9" s="11">
        <v>0.9</v>
      </c>
      <c r="JZ9" s="11">
        <v>0.9</v>
      </c>
      <c r="KA9" s="11">
        <v>0.9</v>
      </c>
      <c r="KB9" s="11">
        <v>0.9</v>
      </c>
      <c r="KC9" s="11">
        <v>0.9</v>
      </c>
      <c r="KD9" s="11">
        <v>0.9</v>
      </c>
      <c r="KE9" s="11">
        <v>0.9</v>
      </c>
      <c r="KF9" s="11">
        <v>0.9</v>
      </c>
      <c r="KG9" s="11">
        <v>0.9</v>
      </c>
      <c r="KH9" s="11">
        <v>0.9</v>
      </c>
      <c r="KI9" s="11">
        <v>0.9</v>
      </c>
      <c r="KJ9" s="11">
        <v>0.9</v>
      </c>
      <c r="KK9" s="11">
        <v>0.9</v>
      </c>
      <c r="KL9" s="11">
        <v>0.9</v>
      </c>
      <c r="KM9" s="11">
        <v>0.9</v>
      </c>
      <c r="KN9" s="11">
        <v>0.9</v>
      </c>
      <c r="KO9" s="11">
        <v>0.9</v>
      </c>
      <c r="KP9" s="11">
        <v>0.9</v>
      </c>
      <c r="KQ9" s="11">
        <v>0.9</v>
      </c>
      <c r="KR9" s="11">
        <v>0.9</v>
      </c>
      <c r="KS9" s="11">
        <v>0.9</v>
      </c>
      <c r="KT9" s="11">
        <v>0.9</v>
      </c>
      <c r="KU9" s="11">
        <v>0.9</v>
      </c>
      <c r="KV9" s="11">
        <v>0.9</v>
      </c>
      <c r="KW9" s="11">
        <v>0.9</v>
      </c>
      <c r="KX9" s="11">
        <v>0.9</v>
      </c>
      <c r="KY9" s="11">
        <v>0.9</v>
      </c>
      <c r="KZ9" s="11">
        <v>0.9</v>
      </c>
      <c r="LA9" s="11">
        <v>0.9</v>
      </c>
      <c r="LB9" s="11">
        <v>0.9</v>
      </c>
      <c r="LC9" s="11">
        <v>0.9</v>
      </c>
      <c r="LD9" s="11">
        <v>0.9</v>
      </c>
      <c r="LE9" s="11">
        <v>0.9</v>
      </c>
      <c r="LF9" s="11">
        <v>0.9</v>
      </c>
      <c r="LG9" s="11">
        <v>0.9</v>
      </c>
      <c r="LH9" s="11">
        <v>0.9</v>
      </c>
      <c r="LI9" s="11">
        <v>0.9</v>
      </c>
      <c r="LJ9" s="11">
        <v>0.9</v>
      </c>
      <c r="LK9" s="11">
        <v>0.9</v>
      </c>
      <c r="LL9" s="11">
        <v>0.9</v>
      </c>
      <c r="LM9" s="11">
        <v>0.9</v>
      </c>
      <c r="LN9" s="11">
        <v>0.9</v>
      </c>
      <c r="LO9" s="11">
        <v>0.9</v>
      </c>
      <c r="LP9" s="11">
        <v>0.9</v>
      </c>
      <c r="LQ9" s="11">
        <v>0.9</v>
      </c>
      <c r="LR9" s="11">
        <v>0.9</v>
      </c>
      <c r="LS9" s="11">
        <v>0.9</v>
      </c>
      <c r="LT9" s="11">
        <v>0.9</v>
      </c>
      <c r="LU9" s="11">
        <v>0.9</v>
      </c>
      <c r="LV9" s="11">
        <v>0.9</v>
      </c>
      <c r="LW9" s="11">
        <v>0.9</v>
      </c>
      <c r="LX9" s="11">
        <v>0.9</v>
      </c>
      <c r="LY9" s="11">
        <v>0.9</v>
      </c>
      <c r="LZ9" s="11">
        <v>0.9</v>
      </c>
      <c r="MA9" s="11">
        <v>0.9</v>
      </c>
      <c r="MB9" s="11">
        <v>0.9</v>
      </c>
      <c r="MC9" s="11">
        <v>0.9</v>
      </c>
      <c r="MD9" s="11">
        <v>0.9</v>
      </c>
      <c r="ME9" s="11">
        <v>0.9</v>
      </c>
      <c r="MF9" s="11">
        <v>0.9</v>
      </c>
      <c r="MG9" s="11">
        <v>0.9</v>
      </c>
      <c r="MH9" s="11">
        <v>0.9</v>
      </c>
      <c r="MI9" s="11">
        <v>0.9</v>
      </c>
      <c r="MJ9" s="11">
        <v>0.9</v>
      </c>
      <c r="MK9" s="11">
        <v>0.9</v>
      </c>
      <c r="ML9" s="11">
        <v>0.9</v>
      </c>
      <c r="MM9" s="11">
        <v>0.9</v>
      </c>
      <c r="MN9" s="11">
        <v>0.9</v>
      </c>
      <c r="MO9" s="11">
        <v>0.9</v>
      </c>
      <c r="MP9" s="11">
        <v>0.9</v>
      </c>
      <c r="MQ9" s="11">
        <v>0.9</v>
      </c>
      <c r="MR9" s="11">
        <v>0.9</v>
      </c>
      <c r="MS9" s="11">
        <v>0.9</v>
      </c>
      <c r="MT9" s="11">
        <v>0.9</v>
      </c>
      <c r="MU9" s="11">
        <v>0.9</v>
      </c>
      <c r="MV9" s="11">
        <v>0.9</v>
      </c>
      <c r="MW9" s="11">
        <v>0.9</v>
      </c>
      <c r="MX9" s="11">
        <v>0.9</v>
      </c>
      <c r="MY9" s="11">
        <v>0.9</v>
      </c>
      <c r="MZ9" s="11">
        <v>0.9</v>
      </c>
      <c r="NA9" s="11">
        <v>0.9</v>
      </c>
      <c r="NB9" s="11">
        <v>0.9</v>
      </c>
      <c r="NC9" s="11">
        <v>0.9</v>
      </c>
      <c r="ND9" s="11">
        <v>0.9</v>
      </c>
    </row>
    <row r="10" spans="1:368" x14ac:dyDescent="0.3">
      <c r="A10" s="9">
        <v>46055</v>
      </c>
      <c r="B10" s="2">
        <v>2</v>
      </c>
      <c r="C10" s="2">
        <v>213</v>
      </c>
      <c r="D10" s="2">
        <v>25</v>
      </c>
      <c r="E10" s="2">
        <v>0</v>
      </c>
      <c r="F10" s="2">
        <v>4</v>
      </c>
      <c r="G10" s="2">
        <v>1</v>
      </c>
      <c r="H10" s="2">
        <v>240</v>
      </c>
      <c r="I10" s="2">
        <v>5</v>
      </c>
      <c r="N10" s="2" t="s">
        <v>32</v>
      </c>
      <c r="O10" s="2">
        <v>3240</v>
      </c>
      <c r="P10" s="2">
        <v>146</v>
      </c>
      <c r="Q10" s="13"/>
      <c r="R10" s="11"/>
      <c r="S10" s="17"/>
      <c r="V10" s="2" t="s">
        <v>8</v>
      </c>
      <c r="W10" s="2">
        <v>246</v>
      </c>
      <c r="X10" s="2">
        <v>71</v>
      </c>
      <c r="Y10" s="10" t="str">
        <f t="shared" si="0"/>
        <v>Prototype</v>
      </c>
      <c r="Z10" s="11">
        <v>0.15</v>
      </c>
      <c r="AA10" s="17">
        <f>GETPIVOTDATA("Somme de Nombre des défauts",$V$3,"Statu","Prototype")/Q4</f>
        <v>0.92207792207792205</v>
      </c>
      <c r="AB10" s="12">
        <v>0.85</v>
      </c>
      <c r="AC10" s="17">
        <f t="shared" si="2"/>
        <v>7.7922077922077948E-2</v>
      </c>
      <c r="AL10" s="48" t="s">
        <v>629</v>
      </c>
      <c r="AM10" s="11">
        <v>0.8</v>
      </c>
      <c r="AN10" s="11">
        <v>0.8</v>
      </c>
      <c r="AO10" s="11">
        <v>0.8</v>
      </c>
      <c r="AP10" s="11">
        <v>0.8</v>
      </c>
      <c r="AQ10" s="11">
        <v>0.8</v>
      </c>
      <c r="AR10" s="11">
        <v>0.8</v>
      </c>
      <c r="AS10" s="11">
        <v>0.8</v>
      </c>
      <c r="AT10" s="11">
        <v>0.8</v>
      </c>
      <c r="AU10" s="11">
        <v>0.8</v>
      </c>
      <c r="AV10" s="11">
        <v>0.8</v>
      </c>
      <c r="AW10" s="11">
        <v>0.8</v>
      </c>
      <c r="AX10" s="11">
        <v>0.8</v>
      </c>
      <c r="AY10" s="11">
        <v>0.8</v>
      </c>
      <c r="AZ10" s="11">
        <v>0.8</v>
      </c>
      <c r="BA10" s="11">
        <v>0.8</v>
      </c>
      <c r="BB10" s="11">
        <v>0.8</v>
      </c>
      <c r="BC10" s="11">
        <v>0.8</v>
      </c>
      <c r="BD10" s="11">
        <v>0.8</v>
      </c>
      <c r="BE10" s="11">
        <v>0.8</v>
      </c>
      <c r="BF10" s="11">
        <v>0.8</v>
      </c>
      <c r="BG10" s="11">
        <v>0.8</v>
      </c>
      <c r="BH10" s="11">
        <v>0.8</v>
      </c>
      <c r="BI10" s="11">
        <v>0.8</v>
      </c>
      <c r="BJ10" s="11">
        <v>0.8</v>
      </c>
      <c r="BK10" s="11">
        <v>0.8</v>
      </c>
      <c r="BL10" s="11">
        <v>0.8</v>
      </c>
      <c r="BM10" s="11">
        <v>0.8</v>
      </c>
      <c r="BN10" s="11">
        <v>0.8</v>
      </c>
      <c r="BO10" s="11">
        <v>0.8</v>
      </c>
      <c r="BP10" s="11">
        <v>0.8</v>
      </c>
      <c r="BQ10" s="11">
        <v>0.8</v>
      </c>
      <c r="BR10" s="11">
        <v>0.8</v>
      </c>
      <c r="BS10" s="11">
        <v>0.8</v>
      </c>
      <c r="BT10" s="11">
        <v>0.8</v>
      </c>
      <c r="BU10" s="11">
        <v>0.8</v>
      </c>
      <c r="BV10" s="11">
        <v>0.8</v>
      </c>
      <c r="BW10" s="11">
        <v>0.8</v>
      </c>
      <c r="BX10" s="11">
        <v>0.8</v>
      </c>
      <c r="BY10" s="11">
        <v>0.8</v>
      </c>
      <c r="BZ10" s="11">
        <v>0.8</v>
      </c>
      <c r="CA10" s="11">
        <v>0.8</v>
      </c>
      <c r="CB10" s="11">
        <v>0.8</v>
      </c>
      <c r="CC10" s="11">
        <v>0.8</v>
      </c>
      <c r="CD10" s="11">
        <v>0.8</v>
      </c>
      <c r="CE10" s="11">
        <v>0.8</v>
      </c>
      <c r="CF10" s="11">
        <v>0.8</v>
      </c>
      <c r="CG10" s="11">
        <v>0.8</v>
      </c>
      <c r="CH10" s="11">
        <v>0.8</v>
      </c>
      <c r="CI10" s="11">
        <v>0.8</v>
      </c>
      <c r="CJ10" s="11">
        <v>0.8</v>
      </c>
      <c r="CK10" s="11">
        <v>0.8</v>
      </c>
      <c r="CL10" s="11">
        <v>0.8</v>
      </c>
      <c r="CM10" s="11">
        <v>0.8</v>
      </c>
      <c r="CN10" s="11">
        <v>0.8</v>
      </c>
      <c r="CO10" s="11">
        <v>0.8</v>
      </c>
      <c r="CP10" s="11">
        <v>0.8</v>
      </c>
      <c r="CQ10" s="11">
        <v>0.8</v>
      </c>
      <c r="CR10" s="11">
        <v>0.8</v>
      </c>
      <c r="CS10" s="11">
        <v>0.8</v>
      </c>
      <c r="CT10" s="11">
        <v>0.8</v>
      </c>
      <c r="CU10" s="11">
        <v>0.8</v>
      </c>
      <c r="CV10" s="11">
        <v>0.8</v>
      </c>
      <c r="CW10" s="11">
        <v>0.8</v>
      </c>
      <c r="CX10" s="11">
        <v>0.8</v>
      </c>
      <c r="CY10" s="11">
        <v>0.8</v>
      </c>
      <c r="CZ10" s="11">
        <v>0.8</v>
      </c>
      <c r="DA10" s="11">
        <v>0.8</v>
      </c>
      <c r="DB10" s="11">
        <v>0.8</v>
      </c>
      <c r="DC10" s="11">
        <v>0.8</v>
      </c>
      <c r="DD10" s="11">
        <v>0.8</v>
      </c>
      <c r="DE10" s="11">
        <v>0.8</v>
      </c>
      <c r="DF10" s="11">
        <v>0.8</v>
      </c>
      <c r="DG10" s="11">
        <v>0.8</v>
      </c>
      <c r="DH10" s="11">
        <v>0.8</v>
      </c>
      <c r="DI10" s="11">
        <v>0.8</v>
      </c>
      <c r="DJ10" s="11">
        <v>0.8</v>
      </c>
      <c r="DK10" s="11">
        <v>0.8</v>
      </c>
      <c r="DL10" s="11">
        <v>0.8</v>
      </c>
      <c r="DM10" s="11">
        <v>0.8</v>
      </c>
      <c r="DN10" s="11">
        <v>0.8</v>
      </c>
      <c r="DO10" s="11">
        <v>0.8</v>
      </c>
      <c r="DP10" s="11">
        <v>0.8</v>
      </c>
      <c r="DQ10" s="11">
        <v>0.8</v>
      </c>
      <c r="DR10" s="11">
        <v>0.8</v>
      </c>
      <c r="DS10" s="11">
        <v>0.8</v>
      </c>
      <c r="DT10" s="11">
        <v>0.8</v>
      </c>
      <c r="DU10" s="11">
        <v>0.8</v>
      </c>
      <c r="DV10" s="11">
        <v>0.8</v>
      </c>
      <c r="DW10" s="11">
        <v>0.8</v>
      </c>
      <c r="DX10" s="11">
        <v>0.8</v>
      </c>
      <c r="DY10" s="11">
        <v>0.8</v>
      </c>
      <c r="DZ10" s="11">
        <v>0.8</v>
      </c>
      <c r="EA10" s="11">
        <v>0.8</v>
      </c>
      <c r="EB10" s="11">
        <v>0.8</v>
      </c>
      <c r="EC10" s="11">
        <v>0.8</v>
      </c>
      <c r="ED10" s="11">
        <v>0.8</v>
      </c>
      <c r="EE10" s="11">
        <v>0.8</v>
      </c>
      <c r="EF10" s="11">
        <v>0.8</v>
      </c>
      <c r="EG10" s="11">
        <v>0.8</v>
      </c>
      <c r="EH10" s="11">
        <v>0.8</v>
      </c>
      <c r="EI10" s="11">
        <v>0.8</v>
      </c>
      <c r="EJ10" s="11">
        <v>0.8</v>
      </c>
      <c r="EK10" s="11">
        <v>0.8</v>
      </c>
      <c r="EL10" s="11">
        <v>0.8</v>
      </c>
      <c r="EM10" s="11">
        <v>0.8</v>
      </c>
      <c r="EN10" s="11">
        <v>0.8</v>
      </c>
      <c r="EO10" s="11">
        <v>0.8</v>
      </c>
      <c r="EP10" s="11">
        <v>0.8</v>
      </c>
      <c r="EQ10" s="11">
        <v>0.8</v>
      </c>
      <c r="ER10" s="11">
        <v>0.8</v>
      </c>
      <c r="ES10" s="11">
        <v>0.8</v>
      </c>
      <c r="ET10" s="11">
        <v>0.8</v>
      </c>
      <c r="EU10" s="11">
        <v>0.8</v>
      </c>
      <c r="EV10" s="11">
        <v>0.8</v>
      </c>
      <c r="EW10" s="11">
        <v>0.8</v>
      </c>
      <c r="EX10" s="11">
        <v>0.8</v>
      </c>
      <c r="EY10" s="11">
        <v>0.8</v>
      </c>
      <c r="EZ10" s="11">
        <v>0.8</v>
      </c>
      <c r="FA10" s="11">
        <v>0.8</v>
      </c>
      <c r="FB10" s="11">
        <v>0.8</v>
      </c>
      <c r="FC10" s="11">
        <v>0.8</v>
      </c>
      <c r="FD10" s="11">
        <v>0.8</v>
      </c>
      <c r="FE10" s="11">
        <v>0.8</v>
      </c>
      <c r="FF10" s="11">
        <v>0.8</v>
      </c>
      <c r="FG10" s="11">
        <v>0.8</v>
      </c>
      <c r="FH10" s="11">
        <v>0.8</v>
      </c>
      <c r="FI10" s="11">
        <v>0.8</v>
      </c>
      <c r="FJ10" s="11">
        <v>0.8</v>
      </c>
      <c r="FK10" s="11">
        <v>0.8</v>
      </c>
      <c r="FL10" s="11">
        <v>0.8</v>
      </c>
      <c r="FM10" s="11">
        <v>0.8</v>
      </c>
      <c r="FN10" s="11">
        <v>0.8</v>
      </c>
      <c r="FO10" s="11">
        <v>0.8</v>
      </c>
      <c r="FP10" s="11">
        <v>0.8</v>
      </c>
      <c r="FQ10" s="11">
        <v>0.8</v>
      </c>
      <c r="FR10" s="11">
        <v>0.8</v>
      </c>
      <c r="FS10" s="11">
        <v>0.8</v>
      </c>
      <c r="FT10" s="11">
        <v>0.8</v>
      </c>
      <c r="FU10" s="11">
        <v>0.8</v>
      </c>
      <c r="FV10" s="11">
        <v>0.8</v>
      </c>
      <c r="FW10" s="11">
        <v>0.8</v>
      </c>
      <c r="FX10" s="11">
        <v>0.8</v>
      </c>
      <c r="FY10" s="11">
        <v>0.8</v>
      </c>
      <c r="FZ10" s="11">
        <v>0.8</v>
      </c>
      <c r="GA10" s="11">
        <v>0.8</v>
      </c>
      <c r="GB10" s="11">
        <v>0.8</v>
      </c>
      <c r="GC10" s="11">
        <v>0.8</v>
      </c>
      <c r="GD10" s="11">
        <v>0.8</v>
      </c>
      <c r="GE10" s="11">
        <v>0.8</v>
      </c>
      <c r="GF10" s="11">
        <v>0.8</v>
      </c>
      <c r="GG10" s="11">
        <v>0.8</v>
      </c>
      <c r="GH10" s="11">
        <v>0.8</v>
      </c>
      <c r="GI10" s="11">
        <v>0.8</v>
      </c>
      <c r="GJ10" s="11">
        <v>0.8</v>
      </c>
      <c r="GK10" s="11">
        <v>0.8</v>
      </c>
      <c r="GL10" s="11">
        <v>0.8</v>
      </c>
      <c r="GM10" s="11">
        <v>0.8</v>
      </c>
      <c r="GN10" s="11">
        <v>0.8</v>
      </c>
      <c r="GO10" s="11">
        <v>0.8</v>
      </c>
      <c r="GP10" s="11">
        <v>0.8</v>
      </c>
      <c r="GQ10" s="11">
        <v>0.8</v>
      </c>
      <c r="GR10" s="11">
        <v>0.8</v>
      </c>
      <c r="GS10" s="11">
        <v>0.8</v>
      </c>
      <c r="GT10" s="11">
        <v>0.8</v>
      </c>
      <c r="GU10" s="11">
        <v>0.8</v>
      </c>
      <c r="GV10" s="11">
        <v>0.8</v>
      </c>
      <c r="GW10" s="11">
        <v>0.8</v>
      </c>
      <c r="GX10" s="11">
        <v>0.8</v>
      </c>
      <c r="GY10" s="11">
        <v>0.8</v>
      </c>
      <c r="GZ10" s="11">
        <v>0.8</v>
      </c>
      <c r="HA10" s="11">
        <v>0.8</v>
      </c>
      <c r="HB10" s="11">
        <v>0.8</v>
      </c>
      <c r="HC10" s="11">
        <v>0.8</v>
      </c>
      <c r="HD10" s="11">
        <v>0.8</v>
      </c>
      <c r="HE10" s="11">
        <v>0.8</v>
      </c>
      <c r="HF10" s="11">
        <v>0.8</v>
      </c>
      <c r="HG10" s="11">
        <v>0.8</v>
      </c>
      <c r="HH10" s="11">
        <v>0.8</v>
      </c>
      <c r="HI10" s="11">
        <v>0.8</v>
      </c>
      <c r="HJ10" s="11">
        <v>0.8</v>
      </c>
      <c r="HK10" s="11">
        <v>0.8</v>
      </c>
      <c r="HL10" s="11">
        <v>0.8</v>
      </c>
      <c r="HM10" s="11">
        <v>0.8</v>
      </c>
      <c r="HN10" s="11">
        <v>0.8</v>
      </c>
      <c r="HO10" s="11">
        <v>0.8</v>
      </c>
      <c r="HP10" s="11">
        <v>0.8</v>
      </c>
      <c r="HQ10" s="11">
        <v>0.8</v>
      </c>
      <c r="HR10" s="11">
        <v>0.8</v>
      </c>
      <c r="HS10" s="11">
        <v>0.8</v>
      </c>
      <c r="HT10" s="11">
        <v>0.8</v>
      </c>
      <c r="HU10" s="11">
        <v>0.8</v>
      </c>
      <c r="HV10" s="11">
        <v>0.8</v>
      </c>
      <c r="HW10" s="11">
        <v>0.8</v>
      </c>
      <c r="HX10" s="11">
        <v>0.8</v>
      </c>
      <c r="HY10" s="11">
        <v>0.8</v>
      </c>
      <c r="HZ10" s="11">
        <v>0.8</v>
      </c>
      <c r="IA10" s="11">
        <v>0.8</v>
      </c>
      <c r="IB10" s="11">
        <v>0.8</v>
      </c>
      <c r="IC10" s="11">
        <v>0.8</v>
      </c>
      <c r="ID10" s="11">
        <v>0.8</v>
      </c>
      <c r="IE10" s="11">
        <v>0.8</v>
      </c>
      <c r="IF10" s="11">
        <v>0.8</v>
      </c>
      <c r="IG10" s="11">
        <v>0.8</v>
      </c>
      <c r="IH10" s="11">
        <v>0.8</v>
      </c>
      <c r="II10" s="11">
        <v>0.8</v>
      </c>
      <c r="IJ10" s="11">
        <v>0.8</v>
      </c>
      <c r="IK10" s="11">
        <v>0.8</v>
      </c>
      <c r="IL10" s="11">
        <v>0.8</v>
      </c>
      <c r="IM10" s="11">
        <v>0.8</v>
      </c>
      <c r="IN10" s="11">
        <v>0.8</v>
      </c>
      <c r="IO10" s="11">
        <v>0.8</v>
      </c>
      <c r="IP10" s="11">
        <v>0.8</v>
      </c>
      <c r="IQ10" s="11">
        <v>0.8</v>
      </c>
      <c r="IR10" s="11">
        <v>0.8</v>
      </c>
      <c r="IS10" s="11">
        <v>0.8</v>
      </c>
      <c r="IT10" s="11">
        <v>0.8</v>
      </c>
      <c r="IU10" s="11">
        <v>0.8</v>
      </c>
      <c r="IV10" s="11">
        <v>0.8</v>
      </c>
      <c r="IW10" s="11">
        <v>0.8</v>
      </c>
      <c r="IX10" s="11">
        <v>0.8</v>
      </c>
      <c r="IY10" s="11">
        <v>0.8</v>
      </c>
      <c r="IZ10" s="11">
        <v>0.8</v>
      </c>
      <c r="JA10" s="11">
        <v>0.8</v>
      </c>
      <c r="JB10" s="11">
        <v>0.8</v>
      </c>
      <c r="JC10" s="11">
        <v>0.8</v>
      </c>
      <c r="JD10" s="11">
        <v>0.8</v>
      </c>
      <c r="JE10" s="11">
        <v>0.8</v>
      </c>
      <c r="JF10" s="11">
        <v>0.8</v>
      </c>
      <c r="JG10" s="11">
        <v>0.8</v>
      </c>
      <c r="JH10" s="11">
        <v>0.8</v>
      </c>
      <c r="JI10" s="11">
        <v>0.8</v>
      </c>
      <c r="JJ10" s="11">
        <v>0.8</v>
      </c>
      <c r="JK10" s="11">
        <v>0.8</v>
      </c>
      <c r="JL10" s="11">
        <v>0.8</v>
      </c>
      <c r="JM10" s="11">
        <v>0.8</v>
      </c>
      <c r="JN10" s="11">
        <v>0.8</v>
      </c>
      <c r="JO10" s="11">
        <v>0.8</v>
      </c>
      <c r="JP10" s="11">
        <v>0.8</v>
      </c>
      <c r="JQ10" s="11">
        <v>0.8</v>
      </c>
      <c r="JR10" s="11">
        <v>0.8</v>
      </c>
      <c r="JS10" s="11">
        <v>0.8</v>
      </c>
      <c r="JT10" s="11">
        <v>0.8</v>
      </c>
      <c r="JU10" s="11">
        <v>0.8</v>
      </c>
      <c r="JV10" s="11">
        <v>0.8</v>
      </c>
      <c r="JW10" s="11">
        <v>0.8</v>
      </c>
      <c r="JX10" s="11">
        <v>0.8</v>
      </c>
      <c r="JY10" s="11">
        <v>0.8</v>
      </c>
      <c r="JZ10" s="11">
        <v>0.8</v>
      </c>
      <c r="KA10" s="11">
        <v>0.8</v>
      </c>
      <c r="KB10" s="11">
        <v>0.8</v>
      </c>
      <c r="KC10" s="11">
        <v>0.8</v>
      </c>
      <c r="KD10" s="11">
        <v>0.8</v>
      </c>
      <c r="KE10" s="11">
        <v>0.8</v>
      </c>
      <c r="KF10" s="11">
        <v>0.8</v>
      </c>
      <c r="KG10" s="11">
        <v>0.8</v>
      </c>
      <c r="KH10" s="11">
        <v>0.8</v>
      </c>
      <c r="KI10" s="11">
        <v>0.8</v>
      </c>
      <c r="KJ10" s="11">
        <v>0.8</v>
      </c>
      <c r="KK10" s="11">
        <v>0.8</v>
      </c>
      <c r="KL10" s="11">
        <v>0.8</v>
      </c>
      <c r="KM10" s="11">
        <v>0.8</v>
      </c>
      <c r="KN10" s="11">
        <v>0.8</v>
      </c>
      <c r="KO10" s="11">
        <v>0.8</v>
      </c>
      <c r="KP10" s="11">
        <v>0.8</v>
      </c>
      <c r="KQ10" s="11">
        <v>0.8</v>
      </c>
      <c r="KR10" s="11">
        <v>0.8</v>
      </c>
      <c r="KS10" s="11">
        <v>0.8</v>
      </c>
      <c r="KT10" s="11">
        <v>0.8</v>
      </c>
      <c r="KU10" s="11">
        <v>0.8</v>
      </c>
      <c r="KV10" s="11">
        <v>0.8</v>
      </c>
      <c r="KW10" s="11">
        <v>0.8</v>
      </c>
      <c r="KX10" s="11">
        <v>0.8</v>
      </c>
      <c r="KY10" s="11">
        <v>0.8</v>
      </c>
      <c r="KZ10" s="11">
        <v>0.8</v>
      </c>
      <c r="LA10" s="11">
        <v>0.8</v>
      </c>
      <c r="LB10" s="11">
        <v>0.8</v>
      </c>
      <c r="LC10" s="11">
        <v>0.8</v>
      </c>
      <c r="LD10" s="11">
        <v>0.8</v>
      </c>
      <c r="LE10" s="11">
        <v>0.8</v>
      </c>
      <c r="LF10" s="11">
        <v>0.8</v>
      </c>
      <c r="LG10" s="11">
        <v>0.8</v>
      </c>
      <c r="LH10" s="11">
        <v>0.8</v>
      </c>
      <c r="LI10" s="11">
        <v>0.8</v>
      </c>
      <c r="LJ10" s="11">
        <v>0.8</v>
      </c>
      <c r="LK10" s="11">
        <v>0.8</v>
      </c>
      <c r="LL10" s="11">
        <v>0.8</v>
      </c>
      <c r="LM10" s="11">
        <v>0.8</v>
      </c>
      <c r="LN10" s="11">
        <v>0.8</v>
      </c>
      <c r="LO10" s="11">
        <v>0.8</v>
      </c>
      <c r="LP10" s="11">
        <v>0.8</v>
      </c>
      <c r="LQ10" s="11">
        <v>0.8</v>
      </c>
      <c r="LR10" s="11">
        <v>0.8</v>
      </c>
      <c r="LS10" s="11">
        <v>0.8</v>
      </c>
      <c r="LT10" s="11">
        <v>0.8</v>
      </c>
      <c r="LU10" s="11">
        <v>0.8</v>
      </c>
      <c r="LV10" s="11">
        <v>0.8</v>
      </c>
      <c r="LW10" s="11">
        <v>0.8</v>
      </c>
      <c r="LX10" s="11">
        <v>0.8</v>
      </c>
      <c r="LY10" s="11">
        <v>0.8</v>
      </c>
      <c r="LZ10" s="11">
        <v>0.8</v>
      </c>
      <c r="MA10" s="11">
        <v>0.8</v>
      </c>
      <c r="MB10" s="11">
        <v>0.8</v>
      </c>
      <c r="MC10" s="11">
        <v>0.8</v>
      </c>
      <c r="MD10" s="11">
        <v>0.8</v>
      </c>
      <c r="ME10" s="11">
        <v>0.8</v>
      </c>
      <c r="MF10" s="11">
        <v>0.8</v>
      </c>
      <c r="MG10" s="11">
        <v>0.8</v>
      </c>
      <c r="MH10" s="11">
        <v>0.8</v>
      </c>
      <c r="MI10" s="11">
        <v>0.8</v>
      </c>
      <c r="MJ10" s="11">
        <v>0.8</v>
      </c>
      <c r="MK10" s="11">
        <v>0.8</v>
      </c>
      <c r="ML10" s="11">
        <v>0.8</v>
      </c>
      <c r="MM10" s="11">
        <v>0.8</v>
      </c>
      <c r="MN10" s="11">
        <v>0.8</v>
      </c>
      <c r="MO10" s="11">
        <v>0.8</v>
      </c>
      <c r="MP10" s="11">
        <v>0.8</v>
      </c>
      <c r="MQ10" s="11">
        <v>0.8</v>
      </c>
      <c r="MR10" s="11">
        <v>0.8</v>
      </c>
      <c r="MS10" s="11">
        <v>0.8</v>
      </c>
      <c r="MT10" s="11">
        <v>0.8</v>
      </c>
      <c r="MU10" s="11">
        <v>0.8</v>
      </c>
      <c r="MV10" s="11">
        <v>0.8</v>
      </c>
      <c r="MW10" s="11">
        <v>0.8</v>
      </c>
      <c r="MX10" s="11">
        <v>0.8</v>
      </c>
      <c r="MY10" s="11">
        <v>0.8</v>
      </c>
      <c r="MZ10" s="11">
        <v>0.8</v>
      </c>
      <c r="NA10" s="11">
        <v>0.8</v>
      </c>
      <c r="NB10" s="11">
        <v>0.8</v>
      </c>
      <c r="NC10" s="11">
        <v>0.8</v>
      </c>
      <c r="ND10" s="11">
        <v>0.8</v>
      </c>
    </row>
    <row r="11" spans="1:368" x14ac:dyDescent="0.3">
      <c r="A11" s="9">
        <v>46056</v>
      </c>
      <c r="B11" s="2">
        <v>31</v>
      </c>
      <c r="C11" s="2">
        <v>207</v>
      </c>
      <c r="E11" s="2">
        <v>3</v>
      </c>
      <c r="F11" s="2">
        <v>5</v>
      </c>
      <c r="H11" s="2">
        <v>238</v>
      </c>
      <c r="I11" s="2">
        <v>8</v>
      </c>
      <c r="V11" s="2" t="s">
        <v>14</v>
      </c>
      <c r="W11" s="2">
        <v>89</v>
      </c>
      <c r="X11" s="2">
        <v>34</v>
      </c>
      <c r="Y11" s="10" t="str">
        <f t="shared" si="0"/>
        <v>CAO</v>
      </c>
      <c r="Z11" s="11">
        <v>0.03</v>
      </c>
      <c r="AA11" s="17">
        <f>GETPIVOTDATA("Somme de Nombre des défauts",$V$3,"Statu","Prototype","Origine de défaut","CAO")/Q4</f>
        <v>0.44155844155844154</v>
      </c>
      <c r="AB11" s="12">
        <v>0.97</v>
      </c>
      <c r="AC11" s="17">
        <f t="shared" si="2"/>
        <v>0.55844155844155852</v>
      </c>
      <c r="AL11" s="48" t="s">
        <v>720</v>
      </c>
      <c r="AM11" s="13">
        <f>AM21</f>
        <v>4</v>
      </c>
      <c r="AN11" s="13">
        <f t="shared" ref="AN11:AQ12" si="3">AN21+AM11</f>
        <v>8</v>
      </c>
      <c r="AO11" s="13">
        <f t="shared" si="3"/>
        <v>14</v>
      </c>
      <c r="AP11" s="13">
        <f t="shared" si="3"/>
        <v>18</v>
      </c>
      <c r="AQ11" s="13">
        <f t="shared" si="3"/>
        <v>22</v>
      </c>
      <c r="AR11" s="13">
        <f>AQ11</f>
        <v>22</v>
      </c>
      <c r="AS11" s="13">
        <f>AS21</f>
        <v>4</v>
      </c>
      <c r="AT11" s="13">
        <f t="shared" ref="AT11:AW12" si="4">AT21+AS11</f>
        <v>10</v>
      </c>
      <c r="AU11" s="13">
        <f t="shared" si="4"/>
        <v>15</v>
      </c>
      <c r="AV11" s="13">
        <f t="shared" si="4"/>
        <v>21</v>
      </c>
      <c r="AW11" s="13">
        <f t="shared" si="4"/>
        <v>26</v>
      </c>
      <c r="AX11" s="13">
        <f>AW11</f>
        <v>26</v>
      </c>
      <c r="AY11" s="13">
        <f>AY21</f>
        <v>7</v>
      </c>
      <c r="AZ11" s="13">
        <f t="shared" ref="AZ11:BC12" si="5">AZ21+AY11</f>
        <v>12</v>
      </c>
      <c r="BA11" s="13">
        <f t="shared" si="5"/>
        <v>16</v>
      </c>
      <c r="BB11" s="13">
        <f t="shared" si="5"/>
        <v>21</v>
      </c>
      <c r="BC11" s="13">
        <f t="shared" si="5"/>
        <v>25</v>
      </c>
      <c r="BD11" s="13">
        <f>BC11</f>
        <v>25</v>
      </c>
      <c r="BE11" s="13">
        <f>BE21</f>
        <v>8</v>
      </c>
      <c r="BF11" s="13">
        <f t="shared" ref="BF11:BI12" si="6">BF21+BE11</f>
        <v>12</v>
      </c>
      <c r="BG11" s="13">
        <f t="shared" si="6"/>
        <v>14</v>
      </c>
      <c r="BH11" s="13">
        <f t="shared" si="6"/>
        <v>19</v>
      </c>
      <c r="BI11" s="13">
        <f t="shared" si="6"/>
        <v>21</v>
      </c>
      <c r="BJ11" s="13">
        <f>BI11</f>
        <v>21</v>
      </c>
      <c r="BK11" s="36">
        <f>BJ11+BD11+AX11+AR11</f>
        <v>94</v>
      </c>
      <c r="BL11" s="13">
        <f>BL21</f>
        <v>2</v>
      </c>
      <c r="BM11" s="13">
        <f t="shared" ref="BM11:BP12" si="7">BL11+BM21</f>
        <v>9</v>
      </c>
      <c r="BN11" s="13">
        <f t="shared" si="7"/>
        <v>15</v>
      </c>
      <c r="BO11" s="13">
        <f t="shared" si="7"/>
        <v>22</v>
      </c>
      <c r="BP11" s="13">
        <f t="shared" si="7"/>
        <v>26</v>
      </c>
      <c r="BQ11" s="13">
        <f>BP11</f>
        <v>26</v>
      </c>
      <c r="BR11" s="13">
        <f>BR21</f>
        <v>7</v>
      </c>
      <c r="BS11" s="13">
        <f t="shared" ref="BS11:BT11" si="8">BR11+BS21</f>
        <v>10</v>
      </c>
      <c r="BT11" s="13">
        <f t="shared" si="8"/>
        <v>15</v>
      </c>
      <c r="BU11" s="13">
        <f t="shared" ref="BU11" si="9">BT11+BU21</f>
        <v>20</v>
      </c>
      <c r="BV11" s="13">
        <f t="shared" ref="BV11" si="10">BU11+BV21</f>
        <v>25</v>
      </c>
      <c r="BW11" s="13">
        <f>BV11</f>
        <v>25</v>
      </c>
      <c r="BX11" s="13">
        <f>BX21</f>
        <v>4</v>
      </c>
      <c r="BY11" s="13">
        <f t="shared" ref="BY11:BY12" si="11">BX11+BY21</f>
        <v>8</v>
      </c>
      <c r="BZ11" s="13">
        <f t="shared" ref="BZ11:BZ12" si="12">BY11+BZ21</f>
        <v>15</v>
      </c>
      <c r="CA11" s="13">
        <f t="shared" ref="CA11:CA12" si="13">BZ11+CA21</f>
        <v>21</v>
      </c>
      <c r="CB11" s="13">
        <f t="shared" ref="CB11:CB12" si="14">CA11+CB21</f>
        <v>26</v>
      </c>
      <c r="CC11" s="13">
        <f>CB11</f>
        <v>26</v>
      </c>
      <c r="CD11" s="13">
        <f>CD21</f>
        <v>0</v>
      </c>
      <c r="CE11" s="13">
        <f t="shared" ref="CE11:CE12" si="15">CD11+CE21</f>
        <v>0</v>
      </c>
      <c r="CF11" s="13">
        <f t="shared" ref="CF11:CF12" si="16">CE11+CF21</f>
        <v>0</v>
      </c>
      <c r="CG11" s="13">
        <f t="shared" ref="CG11:CG12" si="17">CF11+CG21</f>
        <v>0</v>
      </c>
      <c r="CH11" s="13">
        <f t="shared" ref="CH11:CH12" si="18">CG11+CH21</f>
        <v>0</v>
      </c>
      <c r="CI11" s="13">
        <f>CH11</f>
        <v>0</v>
      </c>
      <c r="CJ11" s="36">
        <f>CI11+CC11+BW11+BQ11</f>
        <v>77</v>
      </c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36"/>
      <c r="DC11" s="13"/>
      <c r="DD11" s="13"/>
      <c r="DE11" s="13"/>
      <c r="DF11" s="13"/>
      <c r="DG11" s="13"/>
      <c r="DH11" s="36"/>
      <c r="DI11" s="13"/>
      <c r="DJ11" s="13"/>
      <c r="DK11" s="13"/>
      <c r="DL11" s="36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36"/>
      <c r="EC11" s="13"/>
      <c r="ED11" s="13"/>
      <c r="EE11" s="13"/>
      <c r="EF11" s="13"/>
      <c r="EG11" s="13"/>
      <c r="EH11" s="36"/>
      <c r="EI11" s="13"/>
      <c r="EJ11" s="13"/>
      <c r="EK11" s="13"/>
      <c r="EL11" s="13"/>
      <c r="EM11" s="36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36"/>
      <c r="FC11" s="13"/>
      <c r="FD11" s="13"/>
      <c r="FE11" s="13"/>
      <c r="FF11" s="13"/>
      <c r="FG11" s="13"/>
      <c r="FH11" s="36"/>
      <c r="FI11" s="13"/>
      <c r="FJ11" s="13"/>
      <c r="FK11" s="13"/>
      <c r="FL11" s="13"/>
      <c r="FM11" s="13"/>
      <c r="FN11" s="36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36"/>
      <c r="GH11" s="13"/>
      <c r="GI11" s="13"/>
      <c r="GJ11" s="13"/>
      <c r="GK11" s="13"/>
      <c r="GL11" s="13"/>
      <c r="GM11" s="36"/>
      <c r="GN11" s="13"/>
      <c r="GO11" s="13"/>
      <c r="GP11" s="13"/>
      <c r="GQ11" s="36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36"/>
      <c r="HN11" s="13"/>
      <c r="HO11" s="13"/>
      <c r="HP11" s="13"/>
      <c r="HQ11" s="13"/>
      <c r="HR11" s="13"/>
      <c r="HS11" s="36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36"/>
      <c r="IM11" s="13"/>
      <c r="IN11" s="13"/>
      <c r="IO11" s="13"/>
      <c r="IP11" s="13"/>
      <c r="IQ11" s="13"/>
      <c r="IR11" s="36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36"/>
      <c r="JM11" s="13"/>
      <c r="JN11" s="13"/>
      <c r="JO11" s="13"/>
      <c r="JP11" s="13"/>
      <c r="JQ11" s="13"/>
      <c r="JR11" s="36"/>
      <c r="JS11" s="13"/>
      <c r="JT11" s="13"/>
      <c r="JU11" s="13"/>
      <c r="JV11" s="13"/>
      <c r="JW11" s="36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36"/>
      <c r="KS11" s="13"/>
      <c r="KT11" s="13"/>
      <c r="KU11" s="13"/>
      <c r="KV11" s="13"/>
      <c r="KW11" s="13"/>
      <c r="KX11" s="36"/>
      <c r="KY11" s="36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36"/>
      <c r="LR11" s="13"/>
      <c r="LS11" s="13"/>
      <c r="LT11" s="13"/>
      <c r="LU11" s="13"/>
      <c r="LV11" s="13"/>
      <c r="LW11" s="36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36"/>
      <c r="MR11" s="13"/>
      <c r="MS11" s="13"/>
      <c r="MT11" s="13"/>
      <c r="MU11" s="13"/>
      <c r="MV11" s="13"/>
      <c r="MW11" s="36"/>
      <c r="MX11" s="13"/>
      <c r="MY11" s="13"/>
      <c r="MZ11" s="13"/>
      <c r="NA11" s="13"/>
      <c r="NB11" s="13"/>
      <c r="NC11" s="13"/>
      <c r="ND11" s="36">
        <f>NC11+LZ11+KY11+JW11+IU11+HT11+GQ11+FO11+EN11+DL11+CJ11+BK11</f>
        <v>171</v>
      </c>
    </row>
    <row r="12" spans="1:368" x14ac:dyDescent="0.3">
      <c r="A12" s="9">
        <v>46057</v>
      </c>
      <c r="B12" s="2">
        <v>6</v>
      </c>
      <c r="C12" s="2">
        <v>160</v>
      </c>
      <c r="D12" s="2">
        <v>20</v>
      </c>
      <c r="E12" s="2">
        <v>2</v>
      </c>
      <c r="F12" s="2">
        <v>8</v>
      </c>
      <c r="G12" s="2">
        <v>1</v>
      </c>
      <c r="H12" s="2">
        <v>186</v>
      </c>
      <c r="I12" s="2">
        <v>11</v>
      </c>
      <c r="V12" s="2" t="s">
        <v>11</v>
      </c>
      <c r="W12" s="2">
        <v>115</v>
      </c>
      <c r="X12" s="2">
        <v>25</v>
      </c>
      <c r="Y12" s="10" t="str">
        <f t="shared" si="0"/>
        <v>CNC</v>
      </c>
      <c r="Z12" s="11">
        <v>0.05</v>
      </c>
      <c r="AA12" s="17">
        <f>GETPIVOTDATA("Somme de Nombre des défauts",$V$3,"Statu","Prototype","Origine de défaut","CNC")/Q4</f>
        <v>0.32467532467532467</v>
      </c>
      <c r="AB12" s="12">
        <v>0.95</v>
      </c>
      <c r="AC12" s="17">
        <f t="shared" si="2"/>
        <v>0.67532467532467533</v>
      </c>
      <c r="AL12" s="48" t="s">
        <v>452</v>
      </c>
      <c r="AM12" s="13">
        <f>AM22</f>
        <v>34</v>
      </c>
      <c r="AN12" s="13">
        <f t="shared" si="3"/>
        <v>53</v>
      </c>
      <c r="AO12" s="13">
        <f t="shared" si="3"/>
        <v>74</v>
      </c>
      <c r="AP12" s="13">
        <f t="shared" si="3"/>
        <v>95</v>
      </c>
      <c r="AQ12" s="13">
        <f t="shared" si="3"/>
        <v>120</v>
      </c>
      <c r="AR12" s="13">
        <f>AQ12</f>
        <v>120</v>
      </c>
      <c r="AS12" s="13">
        <f>AS22</f>
        <v>35</v>
      </c>
      <c r="AT12" s="13">
        <f t="shared" si="4"/>
        <v>70</v>
      </c>
      <c r="AU12" s="13">
        <f t="shared" si="4"/>
        <v>118</v>
      </c>
      <c r="AV12" s="13">
        <f t="shared" si="4"/>
        <v>154</v>
      </c>
      <c r="AW12" s="13">
        <f t="shared" si="4"/>
        <v>199</v>
      </c>
      <c r="AX12" s="13">
        <f>AW12</f>
        <v>199</v>
      </c>
      <c r="AY12" s="13">
        <f>AY22</f>
        <v>40</v>
      </c>
      <c r="AZ12" s="13">
        <f t="shared" si="5"/>
        <v>80</v>
      </c>
      <c r="BA12" s="13">
        <f t="shared" si="5"/>
        <v>110</v>
      </c>
      <c r="BB12" s="13">
        <f t="shared" si="5"/>
        <v>154</v>
      </c>
      <c r="BC12" s="13">
        <f t="shared" si="5"/>
        <v>192</v>
      </c>
      <c r="BD12" s="13">
        <f>BC12</f>
        <v>192</v>
      </c>
      <c r="BE12" s="13">
        <f>BE22</f>
        <v>36</v>
      </c>
      <c r="BF12" s="13">
        <f t="shared" si="6"/>
        <v>78</v>
      </c>
      <c r="BG12" s="13">
        <f t="shared" si="6"/>
        <v>112</v>
      </c>
      <c r="BH12" s="13">
        <f t="shared" si="6"/>
        <v>148</v>
      </c>
      <c r="BI12" s="13">
        <f t="shared" si="6"/>
        <v>194</v>
      </c>
      <c r="BJ12" s="13">
        <f>BI12</f>
        <v>194</v>
      </c>
      <c r="BK12" s="36">
        <f>BJ12+BD12+AX12+AR12</f>
        <v>705</v>
      </c>
      <c r="BL12" s="13">
        <f>BL22</f>
        <v>27</v>
      </c>
      <c r="BM12" s="13">
        <f t="shared" si="7"/>
        <v>58</v>
      </c>
      <c r="BN12" s="13">
        <f t="shared" si="7"/>
        <v>84</v>
      </c>
      <c r="BO12" s="13">
        <f t="shared" si="7"/>
        <v>117</v>
      </c>
      <c r="BP12" s="13">
        <f t="shared" si="7"/>
        <v>155</v>
      </c>
      <c r="BQ12" s="13">
        <f>BP12</f>
        <v>155</v>
      </c>
      <c r="BR12" s="13">
        <f>BR22</f>
        <v>24</v>
      </c>
      <c r="BS12" s="13">
        <f t="shared" ref="BS12" si="19">BR12+BS22</f>
        <v>35</v>
      </c>
      <c r="BT12" s="13">
        <f t="shared" ref="BT12" si="20">BS12+BT22</f>
        <v>69</v>
      </c>
      <c r="BU12" s="13">
        <f t="shared" ref="BU12" si="21">BT12+BU22</f>
        <v>98</v>
      </c>
      <c r="BV12" s="13">
        <f t="shared" ref="BV12" si="22">BU12+BV22</f>
        <v>142</v>
      </c>
      <c r="BW12" s="13">
        <f>BV12</f>
        <v>142</v>
      </c>
      <c r="BX12" s="13">
        <f>BX22</f>
        <v>41</v>
      </c>
      <c r="BY12" s="13">
        <f t="shared" si="11"/>
        <v>75</v>
      </c>
      <c r="BZ12" s="13">
        <f t="shared" si="12"/>
        <v>116</v>
      </c>
      <c r="CA12" s="13">
        <f t="shared" si="13"/>
        <v>163</v>
      </c>
      <c r="CB12" s="13">
        <f t="shared" si="14"/>
        <v>206</v>
      </c>
      <c r="CC12" s="13">
        <f>CB12</f>
        <v>206</v>
      </c>
      <c r="CD12" s="13">
        <f>CD22</f>
        <v>0</v>
      </c>
      <c r="CE12" s="13">
        <f t="shared" si="15"/>
        <v>0</v>
      </c>
      <c r="CF12" s="13">
        <f t="shared" si="16"/>
        <v>0</v>
      </c>
      <c r="CG12" s="13">
        <f t="shared" si="17"/>
        <v>0</v>
      </c>
      <c r="CH12" s="13">
        <f t="shared" si="18"/>
        <v>0</v>
      </c>
      <c r="CI12" s="13">
        <f>CH12</f>
        <v>0</v>
      </c>
      <c r="CJ12" s="36">
        <f>CI12+CC12+BW12+BQ12</f>
        <v>503</v>
      </c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36"/>
      <c r="DC12" s="13"/>
      <c r="DD12" s="13"/>
      <c r="DE12" s="13"/>
      <c r="DF12" s="13"/>
      <c r="DG12" s="13"/>
      <c r="DH12" s="36"/>
      <c r="DI12" s="13"/>
      <c r="DJ12" s="13"/>
      <c r="DK12" s="13"/>
      <c r="DL12" s="36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36"/>
      <c r="EC12" s="13"/>
      <c r="ED12" s="13"/>
      <c r="EE12" s="13"/>
      <c r="EF12" s="13"/>
      <c r="EG12" s="13"/>
      <c r="EH12" s="36"/>
      <c r="EI12" s="13"/>
      <c r="EJ12" s="13"/>
      <c r="EK12" s="13"/>
      <c r="EL12" s="13"/>
      <c r="EM12" s="36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36"/>
      <c r="FC12" s="13"/>
      <c r="FD12" s="13"/>
      <c r="FE12" s="13"/>
      <c r="FF12" s="13"/>
      <c r="FG12" s="13"/>
      <c r="FH12" s="36"/>
      <c r="FI12" s="13"/>
      <c r="FJ12" s="13"/>
      <c r="FK12" s="13"/>
      <c r="FL12" s="13"/>
      <c r="FM12" s="13"/>
      <c r="FN12" s="36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36"/>
      <c r="GH12" s="13"/>
      <c r="GI12" s="13"/>
      <c r="GJ12" s="13"/>
      <c r="GK12" s="13"/>
      <c r="GL12" s="13"/>
      <c r="GM12" s="36"/>
      <c r="GN12" s="13"/>
      <c r="GO12" s="13"/>
      <c r="GP12" s="13"/>
      <c r="GQ12" s="36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36"/>
      <c r="HN12" s="13"/>
      <c r="HO12" s="13"/>
      <c r="HP12" s="13"/>
      <c r="HQ12" s="13"/>
      <c r="HR12" s="13"/>
      <c r="HS12" s="36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36"/>
      <c r="IM12" s="13"/>
      <c r="IN12" s="13"/>
      <c r="IO12" s="13"/>
      <c r="IP12" s="13"/>
      <c r="IQ12" s="13"/>
      <c r="IR12" s="36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36"/>
      <c r="JM12" s="13"/>
      <c r="JN12" s="13"/>
      <c r="JO12" s="13"/>
      <c r="JP12" s="13"/>
      <c r="JQ12" s="13"/>
      <c r="JR12" s="36"/>
      <c r="JS12" s="13"/>
      <c r="JT12" s="13"/>
      <c r="JU12" s="13"/>
      <c r="JV12" s="13"/>
      <c r="JW12" s="36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36"/>
      <c r="KS12" s="13"/>
      <c r="KT12" s="13"/>
      <c r="KU12" s="13"/>
      <c r="KV12" s="13"/>
      <c r="KW12" s="13"/>
      <c r="KX12" s="36"/>
      <c r="KY12" s="36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36"/>
      <c r="LR12" s="13"/>
      <c r="LS12" s="13"/>
      <c r="LT12" s="13"/>
      <c r="LU12" s="13"/>
      <c r="LV12" s="13"/>
      <c r="LW12" s="36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36"/>
      <c r="MR12" s="13"/>
      <c r="MS12" s="13"/>
      <c r="MT12" s="13"/>
      <c r="MU12" s="13"/>
      <c r="MV12" s="13"/>
      <c r="MW12" s="36"/>
      <c r="MX12" s="13"/>
      <c r="MY12" s="13"/>
      <c r="MZ12" s="13"/>
      <c r="NA12" s="13"/>
      <c r="NB12" s="13"/>
      <c r="NC12" s="13"/>
      <c r="ND12" s="36">
        <f>NC12+LZ12+KY12+JW12+IU12+HT12+GQ12+FO12+EN12+DL12+CJ12+BK12</f>
        <v>1208</v>
      </c>
    </row>
    <row r="13" spans="1:368" x14ac:dyDescent="0.3">
      <c r="A13" s="9">
        <v>46058</v>
      </c>
      <c r="B13" s="2">
        <v>33</v>
      </c>
      <c r="C13" s="2">
        <v>244</v>
      </c>
      <c r="E13" s="2">
        <v>0</v>
      </c>
      <c r="F13" s="2">
        <v>10</v>
      </c>
      <c r="H13" s="2">
        <v>277</v>
      </c>
      <c r="I13" s="2">
        <v>10</v>
      </c>
      <c r="V13" s="2" t="s">
        <v>16</v>
      </c>
      <c r="W13" s="2">
        <v>42</v>
      </c>
      <c r="X13" s="2">
        <v>12</v>
      </c>
      <c r="Y13" s="10" t="str">
        <f t="shared" si="0"/>
        <v>FAO</v>
      </c>
      <c r="Z13" s="11">
        <v>0.05</v>
      </c>
      <c r="AA13" s="17">
        <f>GETPIVOTDATA("Somme de Nombre des défauts",$V$4,"Statu","Prototype","Origine de défaut","FAO")/Q4</f>
        <v>0.15584415584415584</v>
      </c>
      <c r="AB13" s="12">
        <v>0.97</v>
      </c>
      <c r="AC13" s="17">
        <f t="shared" si="2"/>
        <v>0.8441558441558441</v>
      </c>
      <c r="AL13" s="48" t="s">
        <v>626</v>
      </c>
      <c r="AM13" s="12">
        <f>AM24/AM22</f>
        <v>0.26470588235294118</v>
      </c>
      <c r="AN13" s="12">
        <f>AN24/AN22</f>
        <v>0.15789473684210525</v>
      </c>
      <c r="AO13" s="12">
        <f>AO24/AO22</f>
        <v>9.5238095238095233E-2</v>
      </c>
      <c r="AP13" s="12">
        <f>AP24/AP22</f>
        <v>4.7619047619047616E-2</v>
      </c>
      <c r="AQ13" s="12">
        <f>AQ24/AQ22</f>
        <v>0.28000000000000003</v>
      </c>
      <c r="AR13" s="12">
        <f>AR24/AR12</f>
        <v>0.18333333333333332</v>
      </c>
      <c r="AS13" s="12">
        <f>AS24/AS22</f>
        <v>8.5714285714285715E-2</v>
      </c>
      <c r="AT13" s="12">
        <f>AT24/AT22</f>
        <v>0.14285714285714285</v>
      </c>
      <c r="AU13" s="12">
        <f>AU24/AU22</f>
        <v>0.125</v>
      </c>
      <c r="AV13" s="12">
        <f>AV24/AV22</f>
        <v>8.3333333333333329E-2</v>
      </c>
      <c r="AW13" s="12">
        <f>AW24/AW22</f>
        <v>0.13333333333333333</v>
      </c>
      <c r="AX13" s="12">
        <f>AX24/AX12</f>
        <v>0.11557788944723618</v>
      </c>
      <c r="AY13" s="12">
        <f>AY24/AY22</f>
        <v>0.05</v>
      </c>
      <c r="AZ13" s="12">
        <f>AZ24/AZ22</f>
        <v>7.4999999999999997E-2</v>
      </c>
      <c r="BA13" s="12">
        <f>BA24/BA22</f>
        <v>6.6666666666666666E-2</v>
      </c>
      <c r="BB13" s="12">
        <f>BB24/BB22</f>
        <v>9.0909090909090912E-2</v>
      </c>
      <c r="BC13" s="12">
        <f>BC24/BC22</f>
        <v>0.10526315789473684</v>
      </c>
      <c r="BD13" s="12">
        <f>BD24/BD12</f>
        <v>7.8125E-2</v>
      </c>
      <c r="BE13" s="12">
        <f>BE24/BE22</f>
        <v>5.5555555555555552E-2</v>
      </c>
      <c r="BF13" s="12">
        <f>BF24/BF22</f>
        <v>0.11904761904761904</v>
      </c>
      <c r="BG13" s="12">
        <f>BG24/BG22</f>
        <v>0.14705882352941177</v>
      </c>
      <c r="BH13" s="12">
        <f>BH24/BH22</f>
        <v>5.5555555555555552E-2</v>
      </c>
      <c r="BI13" s="12">
        <f>BI24/BI22</f>
        <v>0.10869565217391304</v>
      </c>
      <c r="BJ13" s="12">
        <f>BJ24/BJ12</f>
        <v>9.7938144329896906E-2</v>
      </c>
      <c r="BK13" s="17">
        <f>BK24/BK12</f>
        <v>0.11205673758865248</v>
      </c>
      <c r="BL13" s="12">
        <f>BL24/BL22</f>
        <v>3.7037037037037035E-2</v>
      </c>
      <c r="BM13" s="12">
        <f>BM24/BM22</f>
        <v>9.6774193548387094E-2</v>
      </c>
      <c r="BN13" s="12">
        <f>BN24/BN22</f>
        <v>0.11538461538461539</v>
      </c>
      <c r="BO13" s="12">
        <f>BO24/BO22</f>
        <v>0</v>
      </c>
      <c r="BP13" s="12">
        <f>BP24/BP22</f>
        <v>7.8947368421052627E-2</v>
      </c>
      <c r="BQ13" s="12">
        <f>BQ24/BQ12</f>
        <v>6.4516129032258063E-2</v>
      </c>
      <c r="BR13" s="12">
        <f t="shared" ref="BR13:CI13" si="23">BR24/BR22</f>
        <v>4.1666666666666664E-2</v>
      </c>
      <c r="BS13" s="12">
        <f t="shared" si="23"/>
        <v>0.27272727272727271</v>
      </c>
      <c r="BT13" s="12">
        <f t="shared" si="23"/>
        <v>0.11764705882352941</v>
      </c>
      <c r="BU13" s="12">
        <f t="shared" si="23"/>
        <v>0.13793103448275862</v>
      </c>
      <c r="BV13" s="12">
        <f t="shared" si="23"/>
        <v>6.8181818181818177E-2</v>
      </c>
      <c r="BW13" s="12">
        <f>BW24/BW12</f>
        <v>0.10563380281690141</v>
      </c>
      <c r="BX13" s="12">
        <f t="shared" si="23"/>
        <v>9.7560975609756101E-2</v>
      </c>
      <c r="BY13" s="12">
        <f t="shared" si="23"/>
        <v>8.8235294117647065E-2</v>
      </c>
      <c r="BZ13" s="12">
        <f t="shared" si="23"/>
        <v>7.3170731707317069E-2</v>
      </c>
      <c r="CA13" s="12">
        <f t="shared" si="23"/>
        <v>0.1276595744680851</v>
      </c>
      <c r="CB13" s="12">
        <f t="shared" si="23"/>
        <v>4.6511627906976744E-2</v>
      </c>
      <c r="CC13" s="12">
        <f>CC24/CC12</f>
        <v>8.7378640776699032E-2</v>
      </c>
      <c r="CD13" s="12" t="e">
        <f t="shared" si="23"/>
        <v>#DIV/0!</v>
      </c>
      <c r="CE13" s="12" t="e">
        <f t="shared" si="23"/>
        <v>#DIV/0!</v>
      </c>
      <c r="CF13" s="12" t="e">
        <f t="shared" si="23"/>
        <v>#DIV/0!</v>
      </c>
      <c r="CG13" s="12" t="e">
        <f t="shared" si="23"/>
        <v>#DIV/0!</v>
      </c>
      <c r="CH13" s="12" t="e">
        <f t="shared" si="23"/>
        <v>#DIV/0!</v>
      </c>
      <c r="CI13" s="12" t="e">
        <f t="shared" si="23"/>
        <v>#DIV/0!</v>
      </c>
      <c r="CJ13" s="17">
        <f>CJ24/CJ12</f>
        <v>8.5487077534791248E-2</v>
      </c>
      <c r="CK13" s="12" t="e">
        <f t="shared" ref="CK13:EV13" si="24">CK24/CK22</f>
        <v>#DIV/0!</v>
      </c>
      <c r="CL13" s="12" t="e">
        <f t="shared" si="24"/>
        <v>#DIV/0!</v>
      </c>
      <c r="CM13" s="12" t="e">
        <f t="shared" si="24"/>
        <v>#DIV/0!</v>
      </c>
      <c r="CN13" s="12" t="e">
        <f t="shared" si="24"/>
        <v>#DIV/0!</v>
      </c>
      <c r="CO13" s="12" t="e">
        <f t="shared" si="24"/>
        <v>#DIV/0!</v>
      </c>
      <c r="CP13" s="12" t="e">
        <f t="shared" si="24"/>
        <v>#DIV/0!</v>
      </c>
      <c r="CQ13" s="12" t="e">
        <f t="shared" si="24"/>
        <v>#DIV/0!</v>
      </c>
      <c r="CR13" s="12" t="e">
        <f t="shared" si="24"/>
        <v>#DIV/0!</v>
      </c>
      <c r="CS13" s="12" t="e">
        <f t="shared" si="24"/>
        <v>#DIV/0!</v>
      </c>
      <c r="CT13" s="12" t="e">
        <f t="shared" si="24"/>
        <v>#DIV/0!</v>
      </c>
      <c r="CU13" s="12" t="e">
        <f t="shared" si="24"/>
        <v>#DIV/0!</v>
      </c>
      <c r="CV13" s="12" t="e">
        <f t="shared" si="24"/>
        <v>#DIV/0!</v>
      </c>
      <c r="CW13" s="12" t="e">
        <f t="shared" si="24"/>
        <v>#DIV/0!</v>
      </c>
      <c r="CX13" s="12" t="e">
        <f t="shared" si="24"/>
        <v>#DIV/0!</v>
      </c>
      <c r="CY13" s="12" t="e">
        <f t="shared" si="24"/>
        <v>#DIV/0!</v>
      </c>
      <c r="CZ13" s="12" t="e">
        <f t="shared" si="24"/>
        <v>#DIV/0!</v>
      </c>
      <c r="DA13" s="12" t="e">
        <f t="shared" si="24"/>
        <v>#DIV/0!</v>
      </c>
      <c r="DB13" s="12" t="e">
        <f t="shared" si="24"/>
        <v>#DIV/0!</v>
      </c>
      <c r="DC13" s="12" t="e">
        <f t="shared" si="24"/>
        <v>#DIV/0!</v>
      </c>
      <c r="DD13" s="12" t="e">
        <f t="shared" si="24"/>
        <v>#DIV/0!</v>
      </c>
      <c r="DE13" s="12" t="e">
        <f t="shared" si="24"/>
        <v>#DIV/0!</v>
      </c>
      <c r="DF13" s="12" t="e">
        <f t="shared" si="24"/>
        <v>#DIV/0!</v>
      </c>
      <c r="DG13" s="12" t="e">
        <f t="shared" si="24"/>
        <v>#DIV/0!</v>
      </c>
      <c r="DH13" s="12" t="e">
        <f t="shared" si="24"/>
        <v>#DIV/0!</v>
      </c>
      <c r="DI13" s="12" t="e">
        <f t="shared" si="24"/>
        <v>#DIV/0!</v>
      </c>
      <c r="DJ13" s="12" t="e">
        <f t="shared" si="24"/>
        <v>#DIV/0!</v>
      </c>
      <c r="DK13" s="12" t="e">
        <f t="shared" si="24"/>
        <v>#DIV/0!</v>
      </c>
      <c r="DL13" s="12" t="e">
        <f t="shared" si="24"/>
        <v>#DIV/0!</v>
      </c>
      <c r="DM13" s="12" t="e">
        <f t="shared" si="24"/>
        <v>#DIV/0!</v>
      </c>
      <c r="DN13" s="12" t="e">
        <f t="shared" si="24"/>
        <v>#DIV/0!</v>
      </c>
      <c r="DO13" s="12" t="e">
        <f t="shared" si="24"/>
        <v>#DIV/0!</v>
      </c>
      <c r="DP13" s="12" t="e">
        <f t="shared" si="24"/>
        <v>#DIV/0!</v>
      </c>
      <c r="DQ13" s="12" t="e">
        <f t="shared" si="24"/>
        <v>#DIV/0!</v>
      </c>
      <c r="DR13" s="12" t="e">
        <f t="shared" si="24"/>
        <v>#DIV/0!</v>
      </c>
      <c r="DS13" s="12" t="e">
        <f t="shared" si="24"/>
        <v>#DIV/0!</v>
      </c>
      <c r="DT13" s="12" t="e">
        <f t="shared" si="24"/>
        <v>#DIV/0!</v>
      </c>
      <c r="DU13" s="12" t="e">
        <f t="shared" si="24"/>
        <v>#DIV/0!</v>
      </c>
      <c r="DV13" s="12" t="e">
        <f t="shared" si="24"/>
        <v>#DIV/0!</v>
      </c>
      <c r="DW13" s="12" t="e">
        <f t="shared" si="24"/>
        <v>#DIV/0!</v>
      </c>
      <c r="DX13" s="12" t="e">
        <f t="shared" si="24"/>
        <v>#DIV/0!</v>
      </c>
      <c r="DY13" s="12" t="e">
        <f t="shared" si="24"/>
        <v>#DIV/0!</v>
      </c>
      <c r="DZ13" s="12" t="e">
        <f t="shared" si="24"/>
        <v>#DIV/0!</v>
      </c>
      <c r="EA13" s="12" t="e">
        <f t="shared" si="24"/>
        <v>#DIV/0!</v>
      </c>
      <c r="EB13" s="12" t="e">
        <f t="shared" si="24"/>
        <v>#DIV/0!</v>
      </c>
      <c r="EC13" s="12" t="e">
        <f t="shared" si="24"/>
        <v>#DIV/0!</v>
      </c>
      <c r="ED13" s="12" t="e">
        <f t="shared" si="24"/>
        <v>#DIV/0!</v>
      </c>
      <c r="EE13" s="12" t="e">
        <f t="shared" si="24"/>
        <v>#DIV/0!</v>
      </c>
      <c r="EF13" s="12" t="e">
        <f t="shared" si="24"/>
        <v>#DIV/0!</v>
      </c>
      <c r="EG13" s="12" t="e">
        <f t="shared" si="24"/>
        <v>#DIV/0!</v>
      </c>
      <c r="EH13" s="12" t="e">
        <f t="shared" si="24"/>
        <v>#DIV/0!</v>
      </c>
      <c r="EI13" s="12" t="e">
        <f t="shared" si="24"/>
        <v>#DIV/0!</v>
      </c>
      <c r="EJ13" s="12" t="e">
        <f t="shared" si="24"/>
        <v>#DIV/0!</v>
      </c>
      <c r="EK13" s="12" t="e">
        <f t="shared" si="24"/>
        <v>#DIV/0!</v>
      </c>
      <c r="EL13" s="12" t="e">
        <f t="shared" si="24"/>
        <v>#DIV/0!</v>
      </c>
      <c r="EM13" s="12" t="e">
        <f t="shared" si="24"/>
        <v>#DIV/0!</v>
      </c>
      <c r="EN13" s="12" t="e">
        <f t="shared" si="24"/>
        <v>#DIV/0!</v>
      </c>
      <c r="EO13" s="12" t="e">
        <f t="shared" si="24"/>
        <v>#DIV/0!</v>
      </c>
      <c r="EP13" s="12" t="e">
        <f t="shared" si="24"/>
        <v>#DIV/0!</v>
      </c>
      <c r="EQ13" s="12" t="e">
        <f t="shared" si="24"/>
        <v>#DIV/0!</v>
      </c>
      <c r="ER13" s="12" t="e">
        <f t="shared" si="24"/>
        <v>#DIV/0!</v>
      </c>
      <c r="ES13" s="12" t="e">
        <f t="shared" si="24"/>
        <v>#DIV/0!</v>
      </c>
      <c r="ET13" s="12" t="e">
        <f t="shared" si="24"/>
        <v>#DIV/0!</v>
      </c>
      <c r="EU13" s="12" t="e">
        <f t="shared" si="24"/>
        <v>#DIV/0!</v>
      </c>
      <c r="EV13" s="12" t="e">
        <f t="shared" si="24"/>
        <v>#DIV/0!</v>
      </c>
      <c r="EW13" s="12" t="e">
        <f t="shared" ref="EW13:HH13" si="25">EW24/EW22</f>
        <v>#DIV/0!</v>
      </c>
      <c r="EX13" s="12" t="e">
        <f t="shared" si="25"/>
        <v>#DIV/0!</v>
      </c>
      <c r="EY13" s="12" t="e">
        <f t="shared" si="25"/>
        <v>#DIV/0!</v>
      </c>
      <c r="EZ13" s="12" t="e">
        <f t="shared" si="25"/>
        <v>#DIV/0!</v>
      </c>
      <c r="FA13" s="12" t="e">
        <f t="shared" si="25"/>
        <v>#DIV/0!</v>
      </c>
      <c r="FB13" s="12" t="e">
        <f t="shared" si="25"/>
        <v>#DIV/0!</v>
      </c>
      <c r="FC13" s="12" t="e">
        <f t="shared" si="25"/>
        <v>#DIV/0!</v>
      </c>
      <c r="FD13" s="12" t="e">
        <f t="shared" si="25"/>
        <v>#DIV/0!</v>
      </c>
      <c r="FE13" s="12" t="e">
        <f t="shared" si="25"/>
        <v>#DIV/0!</v>
      </c>
      <c r="FF13" s="12" t="e">
        <f t="shared" si="25"/>
        <v>#DIV/0!</v>
      </c>
      <c r="FG13" s="12" t="e">
        <f t="shared" si="25"/>
        <v>#DIV/0!</v>
      </c>
      <c r="FH13" s="12" t="e">
        <f t="shared" si="25"/>
        <v>#DIV/0!</v>
      </c>
      <c r="FI13" s="12" t="e">
        <f t="shared" si="25"/>
        <v>#DIV/0!</v>
      </c>
      <c r="FJ13" s="12" t="e">
        <f t="shared" si="25"/>
        <v>#DIV/0!</v>
      </c>
      <c r="FK13" s="12" t="e">
        <f t="shared" si="25"/>
        <v>#DIV/0!</v>
      </c>
      <c r="FL13" s="12" t="e">
        <f t="shared" si="25"/>
        <v>#DIV/0!</v>
      </c>
      <c r="FM13" s="12" t="e">
        <f t="shared" si="25"/>
        <v>#DIV/0!</v>
      </c>
      <c r="FN13" s="12" t="e">
        <f t="shared" si="25"/>
        <v>#DIV/0!</v>
      </c>
      <c r="FO13" s="12" t="e">
        <f t="shared" si="25"/>
        <v>#DIV/0!</v>
      </c>
      <c r="FP13" s="12" t="e">
        <f t="shared" si="25"/>
        <v>#DIV/0!</v>
      </c>
      <c r="FQ13" s="12" t="e">
        <f t="shared" si="25"/>
        <v>#DIV/0!</v>
      </c>
      <c r="FR13" s="12" t="e">
        <f t="shared" si="25"/>
        <v>#DIV/0!</v>
      </c>
      <c r="FS13" s="12" t="e">
        <f t="shared" si="25"/>
        <v>#DIV/0!</v>
      </c>
      <c r="FT13" s="12" t="e">
        <f t="shared" si="25"/>
        <v>#DIV/0!</v>
      </c>
      <c r="FU13" s="12" t="e">
        <f t="shared" si="25"/>
        <v>#DIV/0!</v>
      </c>
      <c r="FV13" s="12" t="e">
        <f t="shared" si="25"/>
        <v>#DIV/0!</v>
      </c>
      <c r="FW13" s="12" t="e">
        <f t="shared" si="25"/>
        <v>#DIV/0!</v>
      </c>
      <c r="FX13" s="12" t="e">
        <f t="shared" si="25"/>
        <v>#DIV/0!</v>
      </c>
      <c r="FY13" s="12" t="e">
        <f t="shared" si="25"/>
        <v>#DIV/0!</v>
      </c>
      <c r="FZ13" s="12" t="e">
        <f t="shared" si="25"/>
        <v>#DIV/0!</v>
      </c>
      <c r="GA13" s="12" t="e">
        <f t="shared" si="25"/>
        <v>#DIV/0!</v>
      </c>
      <c r="GB13" s="12" t="e">
        <f t="shared" si="25"/>
        <v>#DIV/0!</v>
      </c>
      <c r="GC13" s="12" t="e">
        <f t="shared" si="25"/>
        <v>#DIV/0!</v>
      </c>
      <c r="GD13" s="12" t="e">
        <f t="shared" si="25"/>
        <v>#DIV/0!</v>
      </c>
      <c r="GE13" s="12" t="e">
        <f t="shared" si="25"/>
        <v>#DIV/0!</v>
      </c>
      <c r="GF13" s="12" t="e">
        <f t="shared" si="25"/>
        <v>#DIV/0!</v>
      </c>
      <c r="GG13" s="12" t="e">
        <f t="shared" si="25"/>
        <v>#DIV/0!</v>
      </c>
      <c r="GH13" s="12" t="e">
        <f t="shared" si="25"/>
        <v>#DIV/0!</v>
      </c>
      <c r="GI13" s="12" t="e">
        <f t="shared" si="25"/>
        <v>#DIV/0!</v>
      </c>
      <c r="GJ13" s="12" t="e">
        <f t="shared" si="25"/>
        <v>#DIV/0!</v>
      </c>
      <c r="GK13" s="12" t="e">
        <f t="shared" si="25"/>
        <v>#DIV/0!</v>
      </c>
      <c r="GL13" s="12" t="e">
        <f t="shared" si="25"/>
        <v>#DIV/0!</v>
      </c>
      <c r="GM13" s="12" t="e">
        <f t="shared" si="25"/>
        <v>#DIV/0!</v>
      </c>
      <c r="GN13" s="12" t="e">
        <f t="shared" si="25"/>
        <v>#DIV/0!</v>
      </c>
      <c r="GO13" s="12" t="e">
        <f t="shared" si="25"/>
        <v>#DIV/0!</v>
      </c>
      <c r="GP13" s="12" t="e">
        <f t="shared" si="25"/>
        <v>#DIV/0!</v>
      </c>
      <c r="GQ13" s="12" t="e">
        <f t="shared" si="25"/>
        <v>#DIV/0!</v>
      </c>
      <c r="GR13" s="12" t="e">
        <f t="shared" si="25"/>
        <v>#DIV/0!</v>
      </c>
      <c r="GS13" s="12" t="e">
        <f t="shared" si="25"/>
        <v>#DIV/0!</v>
      </c>
      <c r="GT13" s="12" t="e">
        <f t="shared" si="25"/>
        <v>#DIV/0!</v>
      </c>
      <c r="GU13" s="12" t="e">
        <f t="shared" si="25"/>
        <v>#DIV/0!</v>
      </c>
      <c r="GV13" s="12" t="e">
        <f t="shared" si="25"/>
        <v>#DIV/0!</v>
      </c>
      <c r="GW13" s="12" t="e">
        <f t="shared" si="25"/>
        <v>#DIV/0!</v>
      </c>
      <c r="GX13" s="12" t="e">
        <f t="shared" si="25"/>
        <v>#DIV/0!</v>
      </c>
      <c r="GY13" s="12" t="e">
        <f t="shared" si="25"/>
        <v>#DIV/0!</v>
      </c>
      <c r="GZ13" s="12" t="e">
        <f t="shared" si="25"/>
        <v>#DIV/0!</v>
      </c>
      <c r="HA13" s="12" t="e">
        <f t="shared" si="25"/>
        <v>#DIV/0!</v>
      </c>
      <c r="HB13" s="12" t="e">
        <f t="shared" si="25"/>
        <v>#DIV/0!</v>
      </c>
      <c r="HC13" s="12" t="e">
        <f t="shared" si="25"/>
        <v>#DIV/0!</v>
      </c>
      <c r="HD13" s="12" t="e">
        <f t="shared" si="25"/>
        <v>#DIV/0!</v>
      </c>
      <c r="HE13" s="12" t="e">
        <f t="shared" si="25"/>
        <v>#DIV/0!</v>
      </c>
      <c r="HF13" s="12" t="e">
        <f t="shared" si="25"/>
        <v>#DIV/0!</v>
      </c>
      <c r="HG13" s="12" t="e">
        <f t="shared" si="25"/>
        <v>#DIV/0!</v>
      </c>
      <c r="HH13" s="12" t="e">
        <f t="shared" si="25"/>
        <v>#DIV/0!</v>
      </c>
      <c r="HI13" s="12" t="e">
        <f t="shared" ref="HI13:JT13" si="26">HI24/HI22</f>
        <v>#DIV/0!</v>
      </c>
      <c r="HJ13" s="12" t="e">
        <f t="shared" si="26"/>
        <v>#DIV/0!</v>
      </c>
      <c r="HK13" s="12" t="e">
        <f t="shared" si="26"/>
        <v>#DIV/0!</v>
      </c>
      <c r="HL13" s="12" t="e">
        <f t="shared" si="26"/>
        <v>#DIV/0!</v>
      </c>
      <c r="HM13" s="12" t="e">
        <f t="shared" si="26"/>
        <v>#DIV/0!</v>
      </c>
      <c r="HN13" s="12" t="e">
        <f t="shared" si="26"/>
        <v>#DIV/0!</v>
      </c>
      <c r="HO13" s="12" t="e">
        <f t="shared" si="26"/>
        <v>#DIV/0!</v>
      </c>
      <c r="HP13" s="12" t="e">
        <f t="shared" si="26"/>
        <v>#DIV/0!</v>
      </c>
      <c r="HQ13" s="12" t="e">
        <f t="shared" si="26"/>
        <v>#DIV/0!</v>
      </c>
      <c r="HR13" s="12" t="e">
        <f t="shared" si="26"/>
        <v>#DIV/0!</v>
      </c>
      <c r="HS13" s="12" t="e">
        <f t="shared" si="26"/>
        <v>#DIV/0!</v>
      </c>
      <c r="HT13" s="12" t="e">
        <f t="shared" si="26"/>
        <v>#DIV/0!</v>
      </c>
      <c r="HU13" s="12" t="e">
        <f t="shared" si="26"/>
        <v>#DIV/0!</v>
      </c>
      <c r="HV13" s="12" t="e">
        <f t="shared" si="26"/>
        <v>#DIV/0!</v>
      </c>
      <c r="HW13" s="12" t="e">
        <f t="shared" si="26"/>
        <v>#DIV/0!</v>
      </c>
      <c r="HX13" s="12" t="e">
        <f t="shared" si="26"/>
        <v>#DIV/0!</v>
      </c>
      <c r="HY13" s="12" t="e">
        <f t="shared" si="26"/>
        <v>#DIV/0!</v>
      </c>
      <c r="HZ13" s="12" t="e">
        <f t="shared" si="26"/>
        <v>#DIV/0!</v>
      </c>
      <c r="IA13" s="12" t="e">
        <f t="shared" si="26"/>
        <v>#DIV/0!</v>
      </c>
      <c r="IB13" s="12" t="e">
        <f t="shared" si="26"/>
        <v>#DIV/0!</v>
      </c>
      <c r="IC13" s="12" t="e">
        <f t="shared" si="26"/>
        <v>#DIV/0!</v>
      </c>
      <c r="ID13" s="12" t="e">
        <f t="shared" si="26"/>
        <v>#DIV/0!</v>
      </c>
      <c r="IE13" s="12" t="e">
        <f t="shared" si="26"/>
        <v>#DIV/0!</v>
      </c>
      <c r="IF13" s="12" t="e">
        <f t="shared" si="26"/>
        <v>#DIV/0!</v>
      </c>
      <c r="IG13" s="12" t="e">
        <f t="shared" si="26"/>
        <v>#DIV/0!</v>
      </c>
      <c r="IH13" s="12" t="e">
        <f t="shared" si="26"/>
        <v>#DIV/0!</v>
      </c>
      <c r="II13" s="12" t="e">
        <f t="shared" si="26"/>
        <v>#DIV/0!</v>
      </c>
      <c r="IJ13" s="12" t="e">
        <f t="shared" si="26"/>
        <v>#DIV/0!</v>
      </c>
      <c r="IK13" s="12" t="e">
        <f t="shared" si="26"/>
        <v>#DIV/0!</v>
      </c>
      <c r="IL13" s="12" t="e">
        <f t="shared" si="26"/>
        <v>#DIV/0!</v>
      </c>
      <c r="IM13" s="12" t="e">
        <f t="shared" si="26"/>
        <v>#DIV/0!</v>
      </c>
      <c r="IN13" s="12" t="e">
        <f t="shared" si="26"/>
        <v>#DIV/0!</v>
      </c>
      <c r="IO13" s="12" t="e">
        <f t="shared" si="26"/>
        <v>#DIV/0!</v>
      </c>
      <c r="IP13" s="12" t="e">
        <f t="shared" si="26"/>
        <v>#DIV/0!</v>
      </c>
      <c r="IQ13" s="12" t="e">
        <f t="shared" si="26"/>
        <v>#DIV/0!</v>
      </c>
      <c r="IR13" s="12" t="e">
        <f t="shared" si="26"/>
        <v>#DIV/0!</v>
      </c>
      <c r="IS13" s="12" t="e">
        <f t="shared" si="26"/>
        <v>#DIV/0!</v>
      </c>
      <c r="IT13" s="12" t="e">
        <f t="shared" si="26"/>
        <v>#DIV/0!</v>
      </c>
      <c r="IU13" s="12" t="e">
        <f t="shared" si="26"/>
        <v>#DIV/0!</v>
      </c>
      <c r="IV13" s="12" t="e">
        <f t="shared" si="26"/>
        <v>#DIV/0!</v>
      </c>
      <c r="IW13" s="12" t="e">
        <f t="shared" si="26"/>
        <v>#DIV/0!</v>
      </c>
      <c r="IX13" s="12" t="e">
        <f t="shared" si="26"/>
        <v>#DIV/0!</v>
      </c>
      <c r="IY13" s="12" t="e">
        <f t="shared" si="26"/>
        <v>#DIV/0!</v>
      </c>
      <c r="IZ13" s="12" t="e">
        <f t="shared" si="26"/>
        <v>#DIV/0!</v>
      </c>
      <c r="JA13" s="12" t="e">
        <f t="shared" si="26"/>
        <v>#DIV/0!</v>
      </c>
      <c r="JB13" s="12" t="e">
        <f t="shared" si="26"/>
        <v>#DIV/0!</v>
      </c>
      <c r="JC13" s="12" t="e">
        <f t="shared" si="26"/>
        <v>#DIV/0!</v>
      </c>
      <c r="JD13" s="12" t="e">
        <f t="shared" si="26"/>
        <v>#DIV/0!</v>
      </c>
      <c r="JE13" s="12" t="e">
        <f t="shared" si="26"/>
        <v>#DIV/0!</v>
      </c>
      <c r="JF13" s="12" t="e">
        <f t="shared" si="26"/>
        <v>#DIV/0!</v>
      </c>
      <c r="JG13" s="12" t="e">
        <f t="shared" si="26"/>
        <v>#DIV/0!</v>
      </c>
      <c r="JH13" s="12" t="e">
        <f t="shared" si="26"/>
        <v>#DIV/0!</v>
      </c>
      <c r="JI13" s="12" t="e">
        <f t="shared" si="26"/>
        <v>#DIV/0!</v>
      </c>
      <c r="JJ13" s="12" t="e">
        <f t="shared" si="26"/>
        <v>#DIV/0!</v>
      </c>
      <c r="JK13" s="12" t="e">
        <f t="shared" si="26"/>
        <v>#DIV/0!</v>
      </c>
      <c r="JL13" s="12" t="e">
        <f t="shared" si="26"/>
        <v>#DIV/0!</v>
      </c>
      <c r="JM13" s="12" t="e">
        <f t="shared" si="26"/>
        <v>#DIV/0!</v>
      </c>
      <c r="JN13" s="12" t="e">
        <f t="shared" si="26"/>
        <v>#DIV/0!</v>
      </c>
      <c r="JO13" s="12" t="e">
        <f t="shared" si="26"/>
        <v>#DIV/0!</v>
      </c>
      <c r="JP13" s="12" t="e">
        <f t="shared" si="26"/>
        <v>#DIV/0!</v>
      </c>
      <c r="JQ13" s="12" t="e">
        <f t="shared" si="26"/>
        <v>#DIV/0!</v>
      </c>
      <c r="JR13" s="12" t="e">
        <f t="shared" si="26"/>
        <v>#DIV/0!</v>
      </c>
      <c r="JS13" s="12" t="e">
        <f t="shared" si="26"/>
        <v>#DIV/0!</v>
      </c>
      <c r="JT13" s="12" t="e">
        <f t="shared" si="26"/>
        <v>#DIV/0!</v>
      </c>
      <c r="JU13" s="12" t="e">
        <f t="shared" ref="JU13:MF13" si="27">JU24/JU22</f>
        <v>#DIV/0!</v>
      </c>
      <c r="JV13" s="12" t="e">
        <f t="shared" si="27"/>
        <v>#DIV/0!</v>
      </c>
      <c r="JW13" s="12" t="e">
        <f t="shared" si="27"/>
        <v>#DIV/0!</v>
      </c>
      <c r="JX13" s="12" t="e">
        <f t="shared" si="27"/>
        <v>#DIV/0!</v>
      </c>
      <c r="JY13" s="12" t="e">
        <f t="shared" si="27"/>
        <v>#DIV/0!</v>
      </c>
      <c r="JZ13" s="12" t="e">
        <f t="shared" si="27"/>
        <v>#DIV/0!</v>
      </c>
      <c r="KA13" s="12" t="e">
        <f t="shared" si="27"/>
        <v>#DIV/0!</v>
      </c>
      <c r="KB13" s="12" t="e">
        <f t="shared" si="27"/>
        <v>#DIV/0!</v>
      </c>
      <c r="KC13" s="12" t="e">
        <f t="shared" si="27"/>
        <v>#DIV/0!</v>
      </c>
      <c r="KD13" s="12" t="e">
        <f t="shared" si="27"/>
        <v>#DIV/0!</v>
      </c>
      <c r="KE13" s="12" t="e">
        <f t="shared" si="27"/>
        <v>#DIV/0!</v>
      </c>
      <c r="KF13" s="12" t="e">
        <f t="shared" si="27"/>
        <v>#DIV/0!</v>
      </c>
      <c r="KG13" s="12" t="e">
        <f t="shared" si="27"/>
        <v>#DIV/0!</v>
      </c>
      <c r="KH13" s="12" t="e">
        <f t="shared" si="27"/>
        <v>#DIV/0!</v>
      </c>
      <c r="KI13" s="12" t="e">
        <f t="shared" si="27"/>
        <v>#DIV/0!</v>
      </c>
      <c r="KJ13" s="12" t="e">
        <f t="shared" si="27"/>
        <v>#DIV/0!</v>
      </c>
      <c r="KK13" s="12" t="e">
        <f t="shared" si="27"/>
        <v>#DIV/0!</v>
      </c>
      <c r="KL13" s="12" t="e">
        <f t="shared" si="27"/>
        <v>#DIV/0!</v>
      </c>
      <c r="KM13" s="12" t="e">
        <f t="shared" si="27"/>
        <v>#DIV/0!</v>
      </c>
      <c r="KN13" s="12" t="e">
        <f t="shared" si="27"/>
        <v>#DIV/0!</v>
      </c>
      <c r="KO13" s="12" t="e">
        <f t="shared" si="27"/>
        <v>#DIV/0!</v>
      </c>
      <c r="KP13" s="12" t="e">
        <f t="shared" si="27"/>
        <v>#DIV/0!</v>
      </c>
      <c r="KQ13" s="12" t="e">
        <f t="shared" si="27"/>
        <v>#DIV/0!</v>
      </c>
      <c r="KR13" s="12" t="e">
        <f t="shared" si="27"/>
        <v>#DIV/0!</v>
      </c>
      <c r="KS13" s="12" t="e">
        <f t="shared" si="27"/>
        <v>#DIV/0!</v>
      </c>
      <c r="KT13" s="12" t="e">
        <f t="shared" si="27"/>
        <v>#DIV/0!</v>
      </c>
      <c r="KU13" s="12" t="e">
        <f t="shared" si="27"/>
        <v>#DIV/0!</v>
      </c>
      <c r="KV13" s="12" t="e">
        <f t="shared" si="27"/>
        <v>#DIV/0!</v>
      </c>
      <c r="KW13" s="12" t="e">
        <f t="shared" si="27"/>
        <v>#DIV/0!</v>
      </c>
      <c r="KX13" s="12" t="e">
        <f t="shared" si="27"/>
        <v>#DIV/0!</v>
      </c>
      <c r="KY13" s="12" t="e">
        <f t="shared" si="27"/>
        <v>#DIV/0!</v>
      </c>
      <c r="KZ13" s="12" t="e">
        <f t="shared" si="27"/>
        <v>#DIV/0!</v>
      </c>
      <c r="LA13" s="12" t="e">
        <f t="shared" si="27"/>
        <v>#DIV/0!</v>
      </c>
      <c r="LB13" s="12" t="e">
        <f t="shared" si="27"/>
        <v>#DIV/0!</v>
      </c>
      <c r="LC13" s="12" t="e">
        <f t="shared" si="27"/>
        <v>#DIV/0!</v>
      </c>
      <c r="LD13" s="12" t="e">
        <f t="shared" si="27"/>
        <v>#DIV/0!</v>
      </c>
      <c r="LE13" s="12" t="e">
        <f t="shared" si="27"/>
        <v>#DIV/0!</v>
      </c>
      <c r="LF13" s="12" t="e">
        <f t="shared" si="27"/>
        <v>#DIV/0!</v>
      </c>
      <c r="LG13" s="12" t="e">
        <f t="shared" si="27"/>
        <v>#DIV/0!</v>
      </c>
      <c r="LH13" s="12" t="e">
        <f t="shared" si="27"/>
        <v>#DIV/0!</v>
      </c>
      <c r="LI13" s="12" t="e">
        <f t="shared" si="27"/>
        <v>#DIV/0!</v>
      </c>
      <c r="LJ13" s="12" t="e">
        <f t="shared" si="27"/>
        <v>#DIV/0!</v>
      </c>
      <c r="LK13" s="12" t="e">
        <f t="shared" si="27"/>
        <v>#DIV/0!</v>
      </c>
      <c r="LL13" s="12" t="e">
        <f t="shared" si="27"/>
        <v>#DIV/0!</v>
      </c>
      <c r="LM13" s="12" t="e">
        <f t="shared" si="27"/>
        <v>#DIV/0!</v>
      </c>
      <c r="LN13" s="12" t="e">
        <f t="shared" si="27"/>
        <v>#DIV/0!</v>
      </c>
      <c r="LO13" s="12" t="e">
        <f t="shared" si="27"/>
        <v>#DIV/0!</v>
      </c>
      <c r="LP13" s="12" t="e">
        <f t="shared" si="27"/>
        <v>#DIV/0!</v>
      </c>
      <c r="LQ13" s="12" t="e">
        <f t="shared" si="27"/>
        <v>#DIV/0!</v>
      </c>
      <c r="LR13" s="12" t="e">
        <f t="shared" si="27"/>
        <v>#DIV/0!</v>
      </c>
      <c r="LS13" s="12" t="e">
        <f t="shared" si="27"/>
        <v>#DIV/0!</v>
      </c>
      <c r="LT13" s="12" t="e">
        <f t="shared" si="27"/>
        <v>#DIV/0!</v>
      </c>
      <c r="LU13" s="12" t="e">
        <f t="shared" si="27"/>
        <v>#DIV/0!</v>
      </c>
      <c r="LV13" s="12" t="e">
        <f t="shared" si="27"/>
        <v>#DIV/0!</v>
      </c>
      <c r="LW13" s="12" t="e">
        <f t="shared" si="27"/>
        <v>#DIV/0!</v>
      </c>
      <c r="LX13" s="12" t="e">
        <f t="shared" si="27"/>
        <v>#DIV/0!</v>
      </c>
      <c r="LY13" s="12" t="e">
        <f t="shared" si="27"/>
        <v>#DIV/0!</v>
      </c>
      <c r="LZ13" s="12" t="e">
        <f t="shared" si="27"/>
        <v>#DIV/0!</v>
      </c>
      <c r="MA13" s="12" t="e">
        <f t="shared" si="27"/>
        <v>#DIV/0!</v>
      </c>
      <c r="MB13" s="12" t="e">
        <f t="shared" si="27"/>
        <v>#DIV/0!</v>
      </c>
      <c r="MC13" s="12" t="e">
        <f t="shared" si="27"/>
        <v>#DIV/0!</v>
      </c>
      <c r="MD13" s="12" t="e">
        <f t="shared" si="27"/>
        <v>#DIV/0!</v>
      </c>
      <c r="ME13" s="12" t="e">
        <f t="shared" si="27"/>
        <v>#DIV/0!</v>
      </c>
      <c r="MF13" s="12" t="e">
        <f t="shared" si="27"/>
        <v>#DIV/0!</v>
      </c>
      <c r="MG13" s="12" t="e">
        <f t="shared" ref="MG13:NC13" si="28">MG24/MG22</f>
        <v>#DIV/0!</v>
      </c>
      <c r="MH13" s="12" t="e">
        <f t="shared" si="28"/>
        <v>#DIV/0!</v>
      </c>
      <c r="MI13" s="12" t="e">
        <f t="shared" si="28"/>
        <v>#DIV/0!</v>
      </c>
      <c r="MJ13" s="12" t="e">
        <f t="shared" si="28"/>
        <v>#DIV/0!</v>
      </c>
      <c r="MK13" s="12" t="e">
        <f t="shared" si="28"/>
        <v>#DIV/0!</v>
      </c>
      <c r="ML13" s="12" t="e">
        <f t="shared" si="28"/>
        <v>#DIV/0!</v>
      </c>
      <c r="MM13" s="12" t="e">
        <f t="shared" si="28"/>
        <v>#DIV/0!</v>
      </c>
      <c r="MN13" s="12" t="e">
        <f t="shared" si="28"/>
        <v>#DIV/0!</v>
      </c>
      <c r="MO13" s="12" t="e">
        <f t="shared" si="28"/>
        <v>#DIV/0!</v>
      </c>
      <c r="MP13" s="12" t="e">
        <f t="shared" si="28"/>
        <v>#DIV/0!</v>
      </c>
      <c r="MQ13" s="12" t="e">
        <f t="shared" si="28"/>
        <v>#DIV/0!</v>
      </c>
      <c r="MR13" s="12" t="e">
        <f t="shared" si="28"/>
        <v>#DIV/0!</v>
      </c>
      <c r="MS13" s="12" t="e">
        <f t="shared" si="28"/>
        <v>#DIV/0!</v>
      </c>
      <c r="MT13" s="12" t="e">
        <f t="shared" si="28"/>
        <v>#DIV/0!</v>
      </c>
      <c r="MU13" s="12" t="e">
        <f t="shared" si="28"/>
        <v>#DIV/0!</v>
      </c>
      <c r="MV13" s="12" t="e">
        <f t="shared" si="28"/>
        <v>#DIV/0!</v>
      </c>
      <c r="MW13" s="12" t="e">
        <f t="shared" si="28"/>
        <v>#DIV/0!</v>
      </c>
      <c r="MX13" s="12" t="e">
        <f t="shared" si="28"/>
        <v>#DIV/0!</v>
      </c>
      <c r="MY13" s="12" t="e">
        <f t="shared" si="28"/>
        <v>#DIV/0!</v>
      </c>
      <c r="MZ13" s="12" t="e">
        <f t="shared" si="28"/>
        <v>#DIV/0!</v>
      </c>
      <c r="NA13" s="12" t="e">
        <f t="shared" si="28"/>
        <v>#DIV/0!</v>
      </c>
      <c r="NB13" s="12" t="e">
        <f t="shared" si="28"/>
        <v>#DIV/0!</v>
      </c>
      <c r="NC13" s="12" t="e">
        <f t="shared" si="28"/>
        <v>#DIV/0!</v>
      </c>
      <c r="ND13" s="17">
        <f>ND24/ND12</f>
        <v>0.10099337748344371</v>
      </c>
    </row>
    <row r="14" spans="1:368" ht="28.8" x14ac:dyDescent="0.3">
      <c r="A14" s="9">
        <v>46059</v>
      </c>
      <c r="B14" s="2">
        <v>38</v>
      </c>
      <c r="C14" s="2">
        <v>128</v>
      </c>
      <c r="E14" s="2">
        <v>2</v>
      </c>
      <c r="F14" s="2">
        <v>6</v>
      </c>
      <c r="G14" s="2">
        <v>1</v>
      </c>
      <c r="H14" s="2">
        <v>166</v>
      </c>
      <c r="I14" s="2">
        <v>9</v>
      </c>
      <c r="N14" s="16" t="s">
        <v>373</v>
      </c>
      <c r="O14" s="2" t="s">
        <v>147</v>
      </c>
      <c r="V14" s="2" t="s">
        <v>32</v>
      </c>
      <c r="W14" s="2">
        <v>1387</v>
      </c>
      <c r="X14" s="2">
        <v>142</v>
      </c>
      <c r="Y14" s="10" t="str">
        <f>Y8</f>
        <v>MONTAGE</v>
      </c>
      <c r="Z14" s="11">
        <v>0.02</v>
      </c>
      <c r="AA14" s="17">
        <v>0</v>
      </c>
      <c r="AB14" s="12">
        <v>0.99</v>
      </c>
      <c r="AC14" s="17">
        <f t="shared" si="2"/>
        <v>1</v>
      </c>
      <c r="AL14" s="48" t="s">
        <v>688</v>
      </c>
      <c r="AM14" s="12">
        <f>AM23/AM22</f>
        <v>0.23529411764705882</v>
      </c>
      <c r="AN14" s="12">
        <f t="shared" ref="AN14:BP14" si="29">AN23/AN22</f>
        <v>0.15789473684210525</v>
      </c>
      <c r="AO14" s="12">
        <f t="shared" si="29"/>
        <v>0.5714285714285714</v>
      </c>
      <c r="AP14" s="12">
        <f t="shared" si="29"/>
        <v>0.5714285714285714</v>
      </c>
      <c r="AQ14" s="12">
        <f t="shared" si="29"/>
        <v>0.28000000000000003</v>
      </c>
      <c r="AR14" s="12">
        <f>AR23/AR12</f>
        <v>0.35</v>
      </c>
      <c r="AS14" s="12">
        <f t="shared" si="29"/>
        <v>0.22857142857142856</v>
      </c>
      <c r="AT14" s="12">
        <f t="shared" si="29"/>
        <v>0.25714285714285712</v>
      </c>
      <c r="AU14" s="12">
        <f t="shared" si="29"/>
        <v>0.16666666666666666</v>
      </c>
      <c r="AV14" s="12">
        <f t="shared" si="29"/>
        <v>0.16666666666666666</v>
      </c>
      <c r="AW14" s="12">
        <f t="shared" si="29"/>
        <v>0.24444444444444444</v>
      </c>
      <c r="AX14" s="12">
        <f>AX23/AX12</f>
        <v>0.21105527638190955</v>
      </c>
      <c r="AY14" s="12">
        <f t="shared" si="29"/>
        <v>0.1</v>
      </c>
      <c r="AZ14" s="12">
        <f t="shared" si="29"/>
        <v>2.5000000000000001E-2</v>
      </c>
      <c r="BA14" s="12">
        <f t="shared" si="29"/>
        <v>0.13333333333333333</v>
      </c>
      <c r="BB14" s="12">
        <f t="shared" si="29"/>
        <v>9.0909090909090912E-2</v>
      </c>
      <c r="BC14" s="12">
        <f t="shared" si="29"/>
        <v>0.18421052631578946</v>
      </c>
      <c r="BD14" s="12">
        <f>BD23/BD12</f>
        <v>0.10416666666666667</v>
      </c>
      <c r="BE14" s="12">
        <f t="shared" si="29"/>
        <v>0.30555555555555558</v>
      </c>
      <c r="BF14" s="12">
        <f t="shared" si="29"/>
        <v>0.21428571428571427</v>
      </c>
      <c r="BG14" s="12">
        <f t="shared" si="29"/>
        <v>0.29411764705882354</v>
      </c>
      <c r="BH14" s="12">
        <f t="shared" si="29"/>
        <v>0.1111111111111111</v>
      </c>
      <c r="BI14" s="12">
        <f t="shared" si="29"/>
        <v>6.5217391304347824E-2</v>
      </c>
      <c r="BJ14" s="12">
        <f>BJ23/BJ12</f>
        <v>0.19072164948453607</v>
      </c>
      <c r="BK14" s="12">
        <f>BK23/BK12</f>
        <v>0.2</v>
      </c>
      <c r="BL14" s="12">
        <f t="shared" si="29"/>
        <v>0.14814814814814814</v>
      </c>
      <c r="BM14" s="12">
        <f t="shared" si="29"/>
        <v>0.16129032258064516</v>
      </c>
      <c r="BN14" s="12">
        <f t="shared" si="29"/>
        <v>0.26923076923076922</v>
      </c>
      <c r="BO14" s="12">
        <f t="shared" si="29"/>
        <v>0.27272727272727271</v>
      </c>
      <c r="BP14" s="12">
        <f t="shared" si="29"/>
        <v>0.15789473684210525</v>
      </c>
      <c r="BQ14" s="12">
        <f>BQ23/BQ12</f>
        <v>0.2</v>
      </c>
      <c r="BR14" s="12">
        <f t="shared" ref="BR14:BV14" si="30">BR23/BR22</f>
        <v>0.375</v>
      </c>
      <c r="BS14" s="12">
        <f t="shared" si="30"/>
        <v>0.63636363636363635</v>
      </c>
      <c r="BT14" s="12">
        <f t="shared" si="30"/>
        <v>0.14705882352941177</v>
      </c>
      <c r="BU14" s="12">
        <f t="shared" si="30"/>
        <v>0.13793103448275862</v>
      </c>
      <c r="BV14" s="12">
        <f t="shared" si="30"/>
        <v>9.0909090909090912E-2</v>
      </c>
      <c r="BW14" s="12">
        <f>BW23/BW12</f>
        <v>0.20422535211267606</v>
      </c>
      <c r="BX14" s="12">
        <f>BX23/BX22</f>
        <v>0.17073170731707318</v>
      </c>
      <c r="BY14" s="12">
        <f>BY23/BY22</f>
        <v>0.3235294117647059</v>
      </c>
      <c r="BZ14" s="12">
        <f>BZ23/BZ22</f>
        <v>0.21951219512195122</v>
      </c>
      <c r="CA14" s="12">
        <f>CA23/CA22</f>
        <v>0.10638297872340426</v>
      </c>
      <c r="CB14" s="12">
        <f>CB23/CB22</f>
        <v>0.20930232558139536</v>
      </c>
      <c r="CC14" s="12">
        <f>CC23/CC12</f>
        <v>0.19902912621359223</v>
      </c>
      <c r="CD14" s="12" t="e">
        <f>CD23/CD22</f>
        <v>#DIV/0!</v>
      </c>
      <c r="CE14" s="12" t="e">
        <f>CE23/CE22</f>
        <v>#DIV/0!</v>
      </c>
      <c r="CF14" s="12" t="e">
        <f>CF23/CF22</f>
        <v>#DIV/0!</v>
      </c>
      <c r="CG14" s="12" t="e">
        <f>CG23/CG22</f>
        <v>#DIV/0!</v>
      </c>
      <c r="CH14" s="12" t="e">
        <f>CH23/CH22</f>
        <v>#DIV/0!</v>
      </c>
      <c r="CI14" s="12" t="e">
        <f>CI23/CI12</f>
        <v>#DIV/0!</v>
      </c>
      <c r="CJ14" s="12">
        <f>CJ23/CJ12</f>
        <v>0.20079522862823063</v>
      </c>
      <c r="CK14" s="12" t="e">
        <f t="shared" ref="CK14:DK14" si="31">CK23/CK22</f>
        <v>#DIV/0!</v>
      </c>
      <c r="CL14" s="12" t="e">
        <f t="shared" si="31"/>
        <v>#DIV/0!</v>
      </c>
      <c r="CM14" s="12" t="e">
        <f t="shared" si="31"/>
        <v>#DIV/0!</v>
      </c>
      <c r="CN14" s="12" t="e">
        <f t="shared" si="31"/>
        <v>#DIV/0!</v>
      </c>
      <c r="CO14" s="12" t="e">
        <f t="shared" si="31"/>
        <v>#DIV/0!</v>
      </c>
      <c r="CP14" s="12" t="e">
        <f t="shared" si="31"/>
        <v>#DIV/0!</v>
      </c>
      <c r="CQ14" s="12" t="e">
        <f t="shared" si="31"/>
        <v>#DIV/0!</v>
      </c>
      <c r="CR14" s="12" t="e">
        <f t="shared" si="31"/>
        <v>#DIV/0!</v>
      </c>
      <c r="CS14" s="12" t="e">
        <f t="shared" si="31"/>
        <v>#DIV/0!</v>
      </c>
      <c r="CT14" s="12" t="e">
        <f t="shared" si="31"/>
        <v>#DIV/0!</v>
      </c>
      <c r="CU14" s="12" t="e">
        <f t="shared" si="31"/>
        <v>#DIV/0!</v>
      </c>
      <c r="CV14" s="12" t="e">
        <f t="shared" si="31"/>
        <v>#DIV/0!</v>
      </c>
      <c r="CW14" s="12" t="e">
        <f t="shared" si="31"/>
        <v>#DIV/0!</v>
      </c>
      <c r="CX14" s="12" t="e">
        <f t="shared" si="31"/>
        <v>#DIV/0!</v>
      </c>
      <c r="CY14" s="12" t="e">
        <f t="shared" si="31"/>
        <v>#DIV/0!</v>
      </c>
      <c r="CZ14" s="12" t="e">
        <f t="shared" si="31"/>
        <v>#DIV/0!</v>
      </c>
      <c r="DA14" s="12" t="e">
        <f t="shared" si="31"/>
        <v>#DIV/0!</v>
      </c>
      <c r="DB14" s="12" t="e">
        <f t="shared" si="31"/>
        <v>#DIV/0!</v>
      </c>
      <c r="DC14" s="12" t="e">
        <f t="shared" si="31"/>
        <v>#DIV/0!</v>
      </c>
      <c r="DD14" s="12" t="e">
        <f t="shared" si="31"/>
        <v>#DIV/0!</v>
      </c>
      <c r="DE14" s="12" t="e">
        <f t="shared" si="31"/>
        <v>#DIV/0!</v>
      </c>
      <c r="DF14" s="12" t="e">
        <f t="shared" si="31"/>
        <v>#DIV/0!</v>
      </c>
      <c r="DG14" s="12" t="e">
        <f t="shared" si="31"/>
        <v>#DIV/0!</v>
      </c>
      <c r="DH14" s="12" t="e">
        <f t="shared" si="31"/>
        <v>#DIV/0!</v>
      </c>
      <c r="DI14" s="12" t="e">
        <f t="shared" si="31"/>
        <v>#DIV/0!</v>
      </c>
      <c r="DJ14" s="12" t="e">
        <f t="shared" si="31"/>
        <v>#DIV/0!</v>
      </c>
      <c r="DK14" s="12" t="e">
        <f t="shared" si="31"/>
        <v>#DIV/0!</v>
      </c>
      <c r="DL14" s="12" t="e">
        <f>DL23/DL12</f>
        <v>#DIV/0!</v>
      </c>
      <c r="DM14" s="12" t="e">
        <f t="shared" ref="DM14:EM14" si="32">DM23/DM22</f>
        <v>#DIV/0!</v>
      </c>
      <c r="DN14" s="12" t="e">
        <f t="shared" si="32"/>
        <v>#DIV/0!</v>
      </c>
      <c r="DO14" s="12" t="e">
        <f t="shared" si="32"/>
        <v>#DIV/0!</v>
      </c>
      <c r="DP14" s="12" t="e">
        <f t="shared" si="32"/>
        <v>#DIV/0!</v>
      </c>
      <c r="DQ14" s="12" t="e">
        <f t="shared" si="32"/>
        <v>#DIV/0!</v>
      </c>
      <c r="DR14" s="12" t="e">
        <f t="shared" si="32"/>
        <v>#DIV/0!</v>
      </c>
      <c r="DS14" s="12" t="e">
        <f t="shared" si="32"/>
        <v>#DIV/0!</v>
      </c>
      <c r="DT14" s="12" t="e">
        <f t="shared" si="32"/>
        <v>#DIV/0!</v>
      </c>
      <c r="DU14" s="12" t="e">
        <f t="shared" si="32"/>
        <v>#DIV/0!</v>
      </c>
      <c r="DV14" s="12" t="e">
        <f t="shared" si="32"/>
        <v>#DIV/0!</v>
      </c>
      <c r="DW14" s="12" t="e">
        <f t="shared" si="32"/>
        <v>#DIV/0!</v>
      </c>
      <c r="DX14" s="12" t="e">
        <f t="shared" si="32"/>
        <v>#DIV/0!</v>
      </c>
      <c r="DY14" s="12" t="e">
        <f t="shared" si="32"/>
        <v>#DIV/0!</v>
      </c>
      <c r="DZ14" s="12" t="e">
        <f t="shared" si="32"/>
        <v>#DIV/0!</v>
      </c>
      <c r="EA14" s="12" t="e">
        <f t="shared" si="32"/>
        <v>#DIV/0!</v>
      </c>
      <c r="EB14" s="12" t="e">
        <f t="shared" si="32"/>
        <v>#DIV/0!</v>
      </c>
      <c r="EC14" s="12" t="e">
        <f t="shared" si="32"/>
        <v>#DIV/0!</v>
      </c>
      <c r="ED14" s="12" t="e">
        <f t="shared" si="32"/>
        <v>#DIV/0!</v>
      </c>
      <c r="EE14" s="12" t="e">
        <f t="shared" si="32"/>
        <v>#DIV/0!</v>
      </c>
      <c r="EF14" s="12" t="e">
        <f t="shared" si="32"/>
        <v>#DIV/0!</v>
      </c>
      <c r="EG14" s="12" t="e">
        <f t="shared" si="32"/>
        <v>#DIV/0!</v>
      </c>
      <c r="EH14" s="12" t="e">
        <f t="shared" si="32"/>
        <v>#DIV/0!</v>
      </c>
      <c r="EI14" s="12" t="e">
        <f t="shared" si="32"/>
        <v>#DIV/0!</v>
      </c>
      <c r="EJ14" s="12" t="e">
        <f t="shared" si="32"/>
        <v>#DIV/0!</v>
      </c>
      <c r="EK14" s="12" t="e">
        <f t="shared" si="32"/>
        <v>#DIV/0!</v>
      </c>
      <c r="EL14" s="12" t="e">
        <f t="shared" si="32"/>
        <v>#DIV/0!</v>
      </c>
      <c r="EM14" s="12" t="e">
        <f t="shared" si="32"/>
        <v>#DIV/0!</v>
      </c>
      <c r="EN14" s="12" t="e">
        <f>EN23/EN12</f>
        <v>#DIV/0!</v>
      </c>
      <c r="EO14" s="12" t="e">
        <f t="shared" ref="EO14:FN14" si="33">EO23/EO22</f>
        <v>#DIV/0!</v>
      </c>
      <c r="EP14" s="12" t="e">
        <f t="shared" si="33"/>
        <v>#DIV/0!</v>
      </c>
      <c r="EQ14" s="12" t="e">
        <f t="shared" si="33"/>
        <v>#DIV/0!</v>
      </c>
      <c r="ER14" s="12" t="e">
        <f t="shared" si="33"/>
        <v>#DIV/0!</v>
      </c>
      <c r="ES14" s="12" t="e">
        <f t="shared" si="33"/>
        <v>#DIV/0!</v>
      </c>
      <c r="ET14" s="12" t="e">
        <f t="shared" si="33"/>
        <v>#DIV/0!</v>
      </c>
      <c r="EU14" s="12" t="e">
        <f t="shared" si="33"/>
        <v>#DIV/0!</v>
      </c>
      <c r="EV14" s="12" t="e">
        <f t="shared" si="33"/>
        <v>#DIV/0!</v>
      </c>
      <c r="EW14" s="12" t="e">
        <f t="shared" si="33"/>
        <v>#DIV/0!</v>
      </c>
      <c r="EX14" s="12" t="e">
        <f t="shared" si="33"/>
        <v>#DIV/0!</v>
      </c>
      <c r="EY14" s="12" t="e">
        <f t="shared" si="33"/>
        <v>#DIV/0!</v>
      </c>
      <c r="EZ14" s="12" t="e">
        <f t="shared" si="33"/>
        <v>#DIV/0!</v>
      </c>
      <c r="FA14" s="12" t="e">
        <f t="shared" si="33"/>
        <v>#DIV/0!</v>
      </c>
      <c r="FB14" s="12" t="e">
        <f t="shared" si="33"/>
        <v>#DIV/0!</v>
      </c>
      <c r="FC14" s="12" t="e">
        <f t="shared" si="33"/>
        <v>#DIV/0!</v>
      </c>
      <c r="FD14" s="12" t="e">
        <f t="shared" si="33"/>
        <v>#DIV/0!</v>
      </c>
      <c r="FE14" s="12" t="e">
        <f t="shared" si="33"/>
        <v>#DIV/0!</v>
      </c>
      <c r="FF14" s="12" t="e">
        <f t="shared" si="33"/>
        <v>#DIV/0!</v>
      </c>
      <c r="FG14" s="12" t="e">
        <f t="shared" si="33"/>
        <v>#DIV/0!</v>
      </c>
      <c r="FH14" s="12" t="e">
        <f t="shared" si="33"/>
        <v>#DIV/0!</v>
      </c>
      <c r="FI14" s="12" t="e">
        <f t="shared" si="33"/>
        <v>#DIV/0!</v>
      </c>
      <c r="FJ14" s="12" t="e">
        <f t="shared" si="33"/>
        <v>#DIV/0!</v>
      </c>
      <c r="FK14" s="12" t="e">
        <f t="shared" si="33"/>
        <v>#DIV/0!</v>
      </c>
      <c r="FL14" s="12" t="e">
        <f t="shared" si="33"/>
        <v>#DIV/0!</v>
      </c>
      <c r="FM14" s="12" t="e">
        <f t="shared" si="33"/>
        <v>#DIV/0!</v>
      </c>
      <c r="FN14" s="12" t="e">
        <f t="shared" si="33"/>
        <v>#DIV/0!</v>
      </c>
      <c r="FO14" s="12" t="e">
        <f>FO23/FO12</f>
        <v>#DIV/0!</v>
      </c>
      <c r="FP14" s="12" t="e">
        <f t="shared" ref="FP14:GP14" si="34">FP23/FP22</f>
        <v>#DIV/0!</v>
      </c>
      <c r="FQ14" s="12" t="e">
        <f t="shared" si="34"/>
        <v>#DIV/0!</v>
      </c>
      <c r="FR14" s="12" t="e">
        <f t="shared" si="34"/>
        <v>#DIV/0!</v>
      </c>
      <c r="FS14" s="12" t="e">
        <f t="shared" si="34"/>
        <v>#DIV/0!</v>
      </c>
      <c r="FT14" s="12" t="e">
        <f t="shared" si="34"/>
        <v>#DIV/0!</v>
      </c>
      <c r="FU14" s="12" t="e">
        <f t="shared" si="34"/>
        <v>#DIV/0!</v>
      </c>
      <c r="FV14" s="12" t="e">
        <f t="shared" si="34"/>
        <v>#DIV/0!</v>
      </c>
      <c r="FW14" s="12" t="e">
        <f t="shared" si="34"/>
        <v>#DIV/0!</v>
      </c>
      <c r="FX14" s="12" t="e">
        <f t="shared" si="34"/>
        <v>#DIV/0!</v>
      </c>
      <c r="FY14" s="12" t="e">
        <f t="shared" si="34"/>
        <v>#DIV/0!</v>
      </c>
      <c r="FZ14" s="12" t="e">
        <f t="shared" si="34"/>
        <v>#DIV/0!</v>
      </c>
      <c r="GA14" s="12" t="e">
        <f t="shared" si="34"/>
        <v>#DIV/0!</v>
      </c>
      <c r="GB14" s="12" t="e">
        <f t="shared" si="34"/>
        <v>#DIV/0!</v>
      </c>
      <c r="GC14" s="12" t="e">
        <f t="shared" si="34"/>
        <v>#DIV/0!</v>
      </c>
      <c r="GD14" s="12" t="e">
        <f t="shared" si="34"/>
        <v>#DIV/0!</v>
      </c>
      <c r="GE14" s="12" t="e">
        <f t="shared" si="34"/>
        <v>#DIV/0!</v>
      </c>
      <c r="GF14" s="12" t="e">
        <f t="shared" si="34"/>
        <v>#DIV/0!</v>
      </c>
      <c r="GG14" s="12" t="e">
        <f t="shared" si="34"/>
        <v>#DIV/0!</v>
      </c>
      <c r="GH14" s="12" t="e">
        <f t="shared" si="34"/>
        <v>#DIV/0!</v>
      </c>
      <c r="GI14" s="12" t="e">
        <f t="shared" si="34"/>
        <v>#DIV/0!</v>
      </c>
      <c r="GJ14" s="12" t="e">
        <f t="shared" si="34"/>
        <v>#DIV/0!</v>
      </c>
      <c r="GK14" s="12" t="e">
        <f t="shared" si="34"/>
        <v>#DIV/0!</v>
      </c>
      <c r="GL14" s="12" t="e">
        <f t="shared" si="34"/>
        <v>#DIV/0!</v>
      </c>
      <c r="GM14" s="12" t="e">
        <f t="shared" si="34"/>
        <v>#DIV/0!</v>
      </c>
      <c r="GN14" s="12" t="e">
        <f t="shared" si="34"/>
        <v>#DIV/0!</v>
      </c>
      <c r="GO14" s="12" t="e">
        <f t="shared" si="34"/>
        <v>#DIV/0!</v>
      </c>
      <c r="GP14" s="12" t="e">
        <f t="shared" si="34"/>
        <v>#DIV/0!</v>
      </c>
      <c r="GQ14" s="12" t="e">
        <f>GQ23/GQ12</f>
        <v>#DIV/0!</v>
      </c>
      <c r="GR14" s="12" t="e">
        <f t="shared" ref="GR14:HS14" si="35">GR23/GR22</f>
        <v>#DIV/0!</v>
      </c>
      <c r="GS14" s="12" t="e">
        <f t="shared" si="35"/>
        <v>#DIV/0!</v>
      </c>
      <c r="GT14" s="12" t="e">
        <f t="shared" si="35"/>
        <v>#DIV/0!</v>
      </c>
      <c r="GU14" s="12" t="e">
        <f t="shared" si="35"/>
        <v>#DIV/0!</v>
      </c>
      <c r="GV14" s="12" t="e">
        <f t="shared" si="35"/>
        <v>#DIV/0!</v>
      </c>
      <c r="GW14" s="12" t="e">
        <f t="shared" si="35"/>
        <v>#DIV/0!</v>
      </c>
      <c r="GX14" s="12" t="e">
        <f t="shared" si="35"/>
        <v>#DIV/0!</v>
      </c>
      <c r="GY14" s="12" t="e">
        <f t="shared" si="35"/>
        <v>#DIV/0!</v>
      </c>
      <c r="GZ14" s="12" t="e">
        <f t="shared" si="35"/>
        <v>#DIV/0!</v>
      </c>
      <c r="HA14" s="12" t="e">
        <f t="shared" si="35"/>
        <v>#DIV/0!</v>
      </c>
      <c r="HB14" s="12" t="e">
        <f t="shared" si="35"/>
        <v>#DIV/0!</v>
      </c>
      <c r="HC14" s="12" t="e">
        <f t="shared" si="35"/>
        <v>#DIV/0!</v>
      </c>
      <c r="HD14" s="12" t="e">
        <f t="shared" si="35"/>
        <v>#DIV/0!</v>
      </c>
      <c r="HE14" s="12" t="e">
        <f t="shared" si="35"/>
        <v>#DIV/0!</v>
      </c>
      <c r="HF14" s="12" t="e">
        <f t="shared" si="35"/>
        <v>#DIV/0!</v>
      </c>
      <c r="HG14" s="12" t="e">
        <f t="shared" si="35"/>
        <v>#DIV/0!</v>
      </c>
      <c r="HH14" s="12" t="e">
        <f t="shared" si="35"/>
        <v>#DIV/0!</v>
      </c>
      <c r="HI14" s="12" t="e">
        <f t="shared" si="35"/>
        <v>#DIV/0!</v>
      </c>
      <c r="HJ14" s="12" t="e">
        <f t="shared" si="35"/>
        <v>#DIV/0!</v>
      </c>
      <c r="HK14" s="12" t="e">
        <f t="shared" si="35"/>
        <v>#DIV/0!</v>
      </c>
      <c r="HL14" s="12" t="e">
        <f t="shared" si="35"/>
        <v>#DIV/0!</v>
      </c>
      <c r="HM14" s="12" t="e">
        <f t="shared" si="35"/>
        <v>#DIV/0!</v>
      </c>
      <c r="HN14" s="12" t="e">
        <f t="shared" si="35"/>
        <v>#DIV/0!</v>
      </c>
      <c r="HO14" s="12" t="e">
        <f t="shared" si="35"/>
        <v>#DIV/0!</v>
      </c>
      <c r="HP14" s="12" t="e">
        <f t="shared" si="35"/>
        <v>#DIV/0!</v>
      </c>
      <c r="HQ14" s="12" t="e">
        <f t="shared" si="35"/>
        <v>#DIV/0!</v>
      </c>
      <c r="HR14" s="12" t="e">
        <f t="shared" si="35"/>
        <v>#DIV/0!</v>
      </c>
      <c r="HS14" s="12" t="e">
        <f t="shared" si="35"/>
        <v>#DIV/0!</v>
      </c>
      <c r="HT14" s="12" t="e">
        <f>HT23/HT12</f>
        <v>#DIV/0!</v>
      </c>
      <c r="HU14" s="12" t="e">
        <f t="shared" ref="HU14:IT14" si="36">HU23/HU22</f>
        <v>#DIV/0!</v>
      </c>
      <c r="HV14" s="12" t="e">
        <f t="shared" si="36"/>
        <v>#DIV/0!</v>
      </c>
      <c r="HW14" s="12" t="e">
        <f t="shared" si="36"/>
        <v>#DIV/0!</v>
      </c>
      <c r="HX14" s="12" t="e">
        <f t="shared" si="36"/>
        <v>#DIV/0!</v>
      </c>
      <c r="HY14" s="12" t="e">
        <f t="shared" si="36"/>
        <v>#DIV/0!</v>
      </c>
      <c r="HZ14" s="12" t="e">
        <f t="shared" si="36"/>
        <v>#DIV/0!</v>
      </c>
      <c r="IA14" s="12" t="e">
        <f t="shared" si="36"/>
        <v>#DIV/0!</v>
      </c>
      <c r="IB14" s="12" t="e">
        <f t="shared" si="36"/>
        <v>#DIV/0!</v>
      </c>
      <c r="IC14" s="12" t="e">
        <f t="shared" si="36"/>
        <v>#DIV/0!</v>
      </c>
      <c r="ID14" s="12" t="e">
        <f t="shared" si="36"/>
        <v>#DIV/0!</v>
      </c>
      <c r="IE14" s="12" t="e">
        <f t="shared" si="36"/>
        <v>#DIV/0!</v>
      </c>
      <c r="IF14" s="12" t="e">
        <f t="shared" si="36"/>
        <v>#DIV/0!</v>
      </c>
      <c r="IG14" s="12" t="e">
        <f t="shared" si="36"/>
        <v>#DIV/0!</v>
      </c>
      <c r="IH14" s="12" t="e">
        <f t="shared" si="36"/>
        <v>#DIV/0!</v>
      </c>
      <c r="II14" s="12" t="e">
        <f t="shared" si="36"/>
        <v>#DIV/0!</v>
      </c>
      <c r="IJ14" s="12" t="e">
        <f t="shared" si="36"/>
        <v>#DIV/0!</v>
      </c>
      <c r="IK14" s="12" t="e">
        <f t="shared" si="36"/>
        <v>#DIV/0!</v>
      </c>
      <c r="IL14" s="12" t="e">
        <f t="shared" si="36"/>
        <v>#DIV/0!</v>
      </c>
      <c r="IM14" s="12" t="e">
        <f t="shared" si="36"/>
        <v>#DIV/0!</v>
      </c>
      <c r="IN14" s="12" t="e">
        <f t="shared" si="36"/>
        <v>#DIV/0!</v>
      </c>
      <c r="IO14" s="12" t="e">
        <f t="shared" si="36"/>
        <v>#DIV/0!</v>
      </c>
      <c r="IP14" s="12" t="e">
        <f t="shared" si="36"/>
        <v>#DIV/0!</v>
      </c>
      <c r="IQ14" s="12" t="e">
        <f t="shared" si="36"/>
        <v>#DIV/0!</v>
      </c>
      <c r="IR14" s="12" t="e">
        <f t="shared" si="36"/>
        <v>#DIV/0!</v>
      </c>
      <c r="IS14" s="12" t="e">
        <f t="shared" si="36"/>
        <v>#DIV/0!</v>
      </c>
      <c r="IT14" s="12" t="e">
        <f t="shared" si="36"/>
        <v>#DIV/0!</v>
      </c>
      <c r="IU14" s="12" t="e">
        <f>IU23/IU12</f>
        <v>#DIV/0!</v>
      </c>
      <c r="IV14" s="12" t="e">
        <f t="shared" ref="IV14:JV14" si="37">IV23/IV22</f>
        <v>#DIV/0!</v>
      </c>
      <c r="IW14" s="12" t="e">
        <f t="shared" si="37"/>
        <v>#DIV/0!</v>
      </c>
      <c r="IX14" s="12" t="e">
        <f t="shared" si="37"/>
        <v>#DIV/0!</v>
      </c>
      <c r="IY14" s="12" t="e">
        <f t="shared" si="37"/>
        <v>#DIV/0!</v>
      </c>
      <c r="IZ14" s="12" t="e">
        <f t="shared" si="37"/>
        <v>#DIV/0!</v>
      </c>
      <c r="JA14" s="12" t="e">
        <f t="shared" si="37"/>
        <v>#DIV/0!</v>
      </c>
      <c r="JB14" s="12" t="e">
        <f t="shared" si="37"/>
        <v>#DIV/0!</v>
      </c>
      <c r="JC14" s="12" t="e">
        <f t="shared" si="37"/>
        <v>#DIV/0!</v>
      </c>
      <c r="JD14" s="12" t="e">
        <f t="shared" si="37"/>
        <v>#DIV/0!</v>
      </c>
      <c r="JE14" s="12" t="e">
        <f t="shared" si="37"/>
        <v>#DIV/0!</v>
      </c>
      <c r="JF14" s="12" t="e">
        <f t="shared" si="37"/>
        <v>#DIV/0!</v>
      </c>
      <c r="JG14" s="12" t="e">
        <f t="shared" si="37"/>
        <v>#DIV/0!</v>
      </c>
      <c r="JH14" s="12" t="e">
        <f t="shared" si="37"/>
        <v>#DIV/0!</v>
      </c>
      <c r="JI14" s="12" t="e">
        <f t="shared" si="37"/>
        <v>#DIV/0!</v>
      </c>
      <c r="JJ14" s="12" t="e">
        <f t="shared" si="37"/>
        <v>#DIV/0!</v>
      </c>
      <c r="JK14" s="12" t="e">
        <f t="shared" si="37"/>
        <v>#DIV/0!</v>
      </c>
      <c r="JL14" s="12" t="e">
        <f t="shared" si="37"/>
        <v>#DIV/0!</v>
      </c>
      <c r="JM14" s="12" t="e">
        <f t="shared" si="37"/>
        <v>#DIV/0!</v>
      </c>
      <c r="JN14" s="12" t="e">
        <f t="shared" si="37"/>
        <v>#DIV/0!</v>
      </c>
      <c r="JO14" s="12" t="e">
        <f t="shared" si="37"/>
        <v>#DIV/0!</v>
      </c>
      <c r="JP14" s="12" t="e">
        <f t="shared" si="37"/>
        <v>#DIV/0!</v>
      </c>
      <c r="JQ14" s="12" t="e">
        <f t="shared" si="37"/>
        <v>#DIV/0!</v>
      </c>
      <c r="JR14" s="12" t="e">
        <f t="shared" si="37"/>
        <v>#DIV/0!</v>
      </c>
      <c r="JS14" s="12" t="e">
        <f t="shared" si="37"/>
        <v>#DIV/0!</v>
      </c>
      <c r="JT14" s="12" t="e">
        <f t="shared" si="37"/>
        <v>#DIV/0!</v>
      </c>
      <c r="JU14" s="12" t="e">
        <f t="shared" si="37"/>
        <v>#DIV/0!</v>
      </c>
      <c r="JV14" s="12" t="e">
        <f t="shared" si="37"/>
        <v>#DIV/0!</v>
      </c>
      <c r="JW14" s="12" t="e">
        <f>JW23/JW12</f>
        <v>#DIV/0!</v>
      </c>
      <c r="JX14" s="12" t="e">
        <f t="shared" ref="JX14:KX14" si="38">JX23/JX22</f>
        <v>#DIV/0!</v>
      </c>
      <c r="JY14" s="12" t="e">
        <f t="shared" si="38"/>
        <v>#DIV/0!</v>
      </c>
      <c r="JZ14" s="12" t="e">
        <f t="shared" si="38"/>
        <v>#DIV/0!</v>
      </c>
      <c r="KA14" s="12" t="e">
        <f t="shared" si="38"/>
        <v>#DIV/0!</v>
      </c>
      <c r="KB14" s="12" t="e">
        <f t="shared" si="38"/>
        <v>#DIV/0!</v>
      </c>
      <c r="KC14" s="12" t="e">
        <f t="shared" si="38"/>
        <v>#DIV/0!</v>
      </c>
      <c r="KD14" s="12" t="e">
        <f t="shared" si="38"/>
        <v>#DIV/0!</v>
      </c>
      <c r="KE14" s="12" t="e">
        <f t="shared" si="38"/>
        <v>#DIV/0!</v>
      </c>
      <c r="KF14" s="12" t="e">
        <f t="shared" si="38"/>
        <v>#DIV/0!</v>
      </c>
      <c r="KG14" s="12" t="e">
        <f t="shared" si="38"/>
        <v>#DIV/0!</v>
      </c>
      <c r="KH14" s="12" t="e">
        <f t="shared" si="38"/>
        <v>#DIV/0!</v>
      </c>
      <c r="KI14" s="12" t="e">
        <f t="shared" si="38"/>
        <v>#DIV/0!</v>
      </c>
      <c r="KJ14" s="12" t="e">
        <f t="shared" si="38"/>
        <v>#DIV/0!</v>
      </c>
      <c r="KK14" s="12" t="e">
        <f t="shared" si="38"/>
        <v>#DIV/0!</v>
      </c>
      <c r="KL14" s="12" t="e">
        <f t="shared" si="38"/>
        <v>#DIV/0!</v>
      </c>
      <c r="KM14" s="12" t="e">
        <f t="shared" si="38"/>
        <v>#DIV/0!</v>
      </c>
      <c r="KN14" s="12" t="e">
        <f t="shared" si="38"/>
        <v>#DIV/0!</v>
      </c>
      <c r="KO14" s="12" t="e">
        <f t="shared" si="38"/>
        <v>#DIV/0!</v>
      </c>
      <c r="KP14" s="12" t="e">
        <f t="shared" si="38"/>
        <v>#DIV/0!</v>
      </c>
      <c r="KQ14" s="12" t="e">
        <f t="shared" si="38"/>
        <v>#DIV/0!</v>
      </c>
      <c r="KR14" s="12" t="e">
        <f t="shared" si="38"/>
        <v>#DIV/0!</v>
      </c>
      <c r="KS14" s="12" t="e">
        <f t="shared" si="38"/>
        <v>#DIV/0!</v>
      </c>
      <c r="KT14" s="12" t="e">
        <f t="shared" si="38"/>
        <v>#DIV/0!</v>
      </c>
      <c r="KU14" s="12" t="e">
        <f t="shared" si="38"/>
        <v>#DIV/0!</v>
      </c>
      <c r="KV14" s="12" t="e">
        <f t="shared" si="38"/>
        <v>#DIV/0!</v>
      </c>
      <c r="KW14" s="12" t="e">
        <f t="shared" si="38"/>
        <v>#DIV/0!</v>
      </c>
      <c r="KX14" s="12" t="e">
        <f t="shared" si="38"/>
        <v>#DIV/0!</v>
      </c>
      <c r="KY14" s="12" t="e">
        <f>KY23/KY12</f>
        <v>#DIV/0!</v>
      </c>
      <c r="KZ14" s="12" t="e">
        <f t="shared" ref="KZ14:LY14" si="39">KZ23/KZ22</f>
        <v>#DIV/0!</v>
      </c>
      <c r="LA14" s="12" t="e">
        <f t="shared" si="39"/>
        <v>#DIV/0!</v>
      </c>
      <c r="LB14" s="12" t="e">
        <f t="shared" si="39"/>
        <v>#DIV/0!</v>
      </c>
      <c r="LC14" s="12" t="e">
        <f t="shared" si="39"/>
        <v>#DIV/0!</v>
      </c>
      <c r="LD14" s="12" t="e">
        <f t="shared" si="39"/>
        <v>#DIV/0!</v>
      </c>
      <c r="LE14" s="12" t="e">
        <f t="shared" si="39"/>
        <v>#DIV/0!</v>
      </c>
      <c r="LF14" s="12" t="e">
        <f t="shared" si="39"/>
        <v>#DIV/0!</v>
      </c>
      <c r="LG14" s="12" t="e">
        <f t="shared" si="39"/>
        <v>#DIV/0!</v>
      </c>
      <c r="LH14" s="12" t="e">
        <f t="shared" si="39"/>
        <v>#DIV/0!</v>
      </c>
      <c r="LI14" s="12" t="e">
        <f t="shared" si="39"/>
        <v>#DIV/0!</v>
      </c>
      <c r="LJ14" s="12" t="e">
        <f t="shared" si="39"/>
        <v>#DIV/0!</v>
      </c>
      <c r="LK14" s="12" t="e">
        <f t="shared" si="39"/>
        <v>#DIV/0!</v>
      </c>
      <c r="LL14" s="12" t="e">
        <f t="shared" si="39"/>
        <v>#DIV/0!</v>
      </c>
      <c r="LM14" s="12" t="e">
        <f t="shared" si="39"/>
        <v>#DIV/0!</v>
      </c>
      <c r="LN14" s="12" t="e">
        <f t="shared" si="39"/>
        <v>#DIV/0!</v>
      </c>
      <c r="LO14" s="12" t="e">
        <f t="shared" si="39"/>
        <v>#DIV/0!</v>
      </c>
      <c r="LP14" s="12" t="e">
        <f t="shared" si="39"/>
        <v>#DIV/0!</v>
      </c>
      <c r="LQ14" s="12" t="e">
        <f t="shared" si="39"/>
        <v>#DIV/0!</v>
      </c>
      <c r="LR14" s="12" t="e">
        <f t="shared" si="39"/>
        <v>#DIV/0!</v>
      </c>
      <c r="LS14" s="12" t="e">
        <f t="shared" si="39"/>
        <v>#DIV/0!</v>
      </c>
      <c r="LT14" s="12" t="e">
        <f t="shared" si="39"/>
        <v>#DIV/0!</v>
      </c>
      <c r="LU14" s="12" t="e">
        <f t="shared" si="39"/>
        <v>#DIV/0!</v>
      </c>
      <c r="LV14" s="12" t="e">
        <f t="shared" si="39"/>
        <v>#DIV/0!</v>
      </c>
      <c r="LW14" s="12" t="e">
        <f t="shared" si="39"/>
        <v>#DIV/0!</v>
      </c>
      <c r="LX14" s="12" t="e">
        <f t="shared" si="39"/>
        <v>#DIV/0!</v>
      </c>
      <c r="LY14" s="12" t="e">
        <f t="shared" si="39"/>
        <v>#DIV/0!</v>
      </c>
      <c r="LZ14" s="12" t="e">
        <f>LZ23/LZ12</f>
        <v>#DIV/0!</v>
      </c>
      <c r="MA14" s="12" t="e">
        <f t="shared" ref="MA14:NB14" si="40">MA23/MA22</f>
        <v>#DIV/0!</v>
      </c>
      <c r="MB14" s="12" t="e">
        <f t="shared" si="40"/>
        <v>#DIV/0!</v>
      </c>
      <c r="MC14" s="12" t="e">
        <f t="shared" si="40"/>
        <v>#DIV/0!</v>
      </c>
      <c r="MD14" s="12" t="e">
        <f t="shared" si="40"/>
        <v>#DIV/0!</v>
      </c>
      <c r="ME14" s="12" t="e">
        <f t="shared" si="40"/>
        <v>#DIV/0!</v>
      </c>
      <c r="MF14" s="12" t="e">
        <f t="shared" si="40"/>
        <v>#DIV/0!</v>
      </c>
      <c r="MG14" s="12" t="e">
        <f t="shared" si="40"/>
        <v>#DIV/0!</v>
      </c>
      <c r="MH14" s="12" t="e">
        <f t="shared" si="40"/>
        <v>#DIV/0!</v>
      </c>
      <c r="MI14" s="12" t="e">
        <f t="shared" si="40"/>
        <v>#DIV/0!</v>
      </c>
      <c r="MJ14" s="12" t="e">
        <f t="shared" si="40"/>
        <v>#DIV/0!</v>
      </c>
      <c r="MK14" s="12" t="e">
        <f t="shared" si="40"/>
        <v>#DIV/0!</v>
      </c>
      <c r="ML14" s="12" t="e">
        <f t="shared" si="40"/>
        <v>#DIV/0!</v>
      </c>
      <c r="MM14" s="12" t="e">
        <f t="shared" si="40"/>
        <v>#DIV/0!</v>
      </c>
      <c r="MN14" s="12" t="e">
        <f t="shared" si="40"/>
        <v>#DIV/0!</v>
      </c>
      <c r="MO14" s="12" t="e">
        <f t="shared" si="40"/>
        <v>#DIV/0!</v>
      </c>
      <c r="MP14" s="12" t="e">
        <f t="shared" si="40"/>
        <v>#DIV/0!</v>
      </c>
      <c r="MQ14" s="12" t="e">
        <f t="shared" si="40"/>
        <v>#DIV/0!</v>
      </c>
      <c r="MR14" s="12" t="e">
        <f t="shared" si="40"/>
        <v>#DIV/0!</v>
      </c>
      <c r="MS14" s="12" t="e">
        <f t="shared" si="40"/>
        <v>#DIV/0!</v>
      </c>
      <c r="MT14" s="12" t="e">
        <f t="shared" si="40"/>
        <v>#DIV/0!</v>
      </c>
      <c r="MU14" s="12" t="e">
        <f t="shared" si="40"/>
        <v>#DIV/0!</v>
      </c>
      <c r="MV14" s="12" t="e">
        <f t="shared" si="40"/>
        <v>#DIV/0!</v>
      </c>
      <c r="MW14" s="12" t="e">
        <f t="shared" si="40"/>
        <v>#DIV/0!</v>
      </c>
      <c r="MX14" s="12" t="e">
        <f t="shared" si="40"/>
        <v>#DIV/0!</v>
      </c>
      <c r="MY14" s="12" t="e">
        <f t="shared" si="40"/>
        <v>#DIV/0!</v>
      </c>
      <c r="MZ14" s="12" t="e">
        <f t="shared" si="40"/>
        <v>#DIV/0!</v>
      </c>
      <c r="NA14" s="12" t="e">
        <f t="shared" si="40"/>
        <v>#DIV/0!</v>
      </c>
      <c r="NB14" s="12" t="e">
        <f t="shared" si="40"/>
        <v>#DIV/0!</v>
      </c>
      <c r="NC14" s="12" t="e">
        <f>NC23/NC12</f>
        <v>#DIV/0!</v>
      </c>
      <c r="ND14" s="12">
        <f>ND23/ND12</f>
        <v>0.20033112582781457</v>
      </c>
    </row>
    <row r="15" spans="1:368" ht="28.8" x14ac:dyDescent="0.3">
      <c r="A15" s="9">
        <v>46062</v>
      </c>
      <c r="B15" s="2">
        <v>24</v>
      </c>
      <c r="C15" s="2">
        <v>132</v>
      </c>
      <c r="E15" s="2">
        <v>1</v>
      </c>
      <c r="F15" s="2">
        <v>9</v>
      </c>
      <c r="H15" s="2">
        <v>156</v>
      </c>
      <c r="I15" s="2">
        <v>10</v>
      </c>
      <c r="N15" s="16" t="s">
        <v>7</v>
      </c>
      <c r="O15" s="2" t="s">
        <v>145</v>
      </c>
      <c r="P15" s="13" t="s">
        <v>686</v>
      </c>
      <c r="V15"/>
      <c r="W15"/>
      <c r="X15"/>
      <c r="Y15"/>
      <c r="Z15"/>
      <c r="AA15"/>
      <c r="AB15"/>
      <c r="AC15"/>
      <c r="AL15" s="48" t="s">
        <v>690</v>
      </c>
      <c r="AM15" s="12">
        <f>AM23/AM25</f>
        <v>4.6242774566473986E-2</v>
      </c>
      <c r="AN15" s="12">
        <f t="shared" ref="AN15:BQ15" si="41">AN23/AN25</f>
        <v>1.0135135135135136E-2</v>
      </c>
      <c r="AO15" s="12">
        <f t="shared" si="41"/>
        <v>3.0456852791878174E-2</v>
      </c>
      <c r="AP15" s="12">
        <f t="shared" si="41"/>
        <v>7.4999999999999997E-2</v>
      </c>
      <c r="AQ15" s="12">
        <f t="shared" si="41"/>
        <v>4.6666666666666669E-2</v>
      </c>
      <c r="AR15" s="12">
        <f t="shared" si="41"/>
        <v>3.5805626598465472E-2</v>
      </c>
      <c r="AS15" s="12">
        <f t="shared" si="41"/>
        <v>3.4334763948497854E-2</v>
      </c>
      <c r="AT15" s="12">
        <f t="shared" si="41"/>
        <v>4.0909090909090909E-2</v>
      </c>
      <c r="AU15" s="12">
        <f t="shared" si="41"/>
        <v>4.6783625730994149E-2</v>
      </c>
      <c r="AV15" s="12">
        <f t="shared" si="41"/>
        <v>3.3519553072625698E-2</v>
      </c>
      <c r="AW15" s="12">
        <f t="shared" si="41"/>
        <v>7.2368421052631582E-2</v>
      </c>
      <c r="AX15" s="12">
        <f t="shared" si="41"/>
        <v>4.3979057591623037E-2</v>
      </c>
      <c r="AY15" s="12">
        <f t="shared" si="41"/>
        <v>3.3898305084745763E-2</v>
      </c>
      <c r="AZ15" s="12">
        <f t="shared" si="41"/>
        <v>7.6923076923076927E-2</v>
      </c>
      <c r="BA15" s="12">
        <f t="shared" si="41"/>
        <v>2.7397260273972601E-2</v>
      </c>
      <c r="BB15" s="12">
        <f t="shared" si="41"/>
        <v>2.7777777777777776E-2</v>
      </c>
      <c r="BC15" s="12">
        <f t="shared" si="41"/>
        <v>4.4871794871794872E-2</v>
      </c>
      <c r="BD15" s="12">
        <f t="shared" si="41"/>
        <v>3.4662045060658578E-2</v>
      </c>
      <c r="BE15" s="12">
        <f t="shared" si="41"/>
        <v>5.1401869158878503E-2</v>
      </c>
      <c r="BF15" s="12">
        <f t="shared" si="41"/>
        <v>4.8648648648648651E-2</v>
      </c>
      <c r="BG15" s="12">
        <f t="shared" si="41"/>
        <v>6.097560975609756E-2</v>
      </c>
      <c r="BH15" s="12">
        <f t="shared" si="41"/>
        <v>2.5974025974025976E-2</v>
      </c>
      <c r="BI15" s="12">
        <f t="shared" si="41"/>
        <v>1.5873015873015872E-2</v>
      </c>
      <c r="BJ15" s="12">
        <f t="shared" si="41"/>
        <v>4.0838852097130243E-2</v>
      </c>
      <c r="BK15" s="12">
        <f t="shared" si="41"/>
        <v>3.9047355303240099E-2</v>
      </c>
      <c r="BL15" s="12">
        <f t="shared" si="41"/>
        <v>1.8779342723004695E-2</v>
      </c>
      <c r="BM15" s="12">
        <f t="shared" si="41"/>
        <v>2.4154589371980676E-2</v>
      </c>
      <c r="BN15" s="12">
        <f t="shared" si="41"/>
        <v>4.3749999999999997E-2</v>
      </c>
      <c r="BO15" s="12">
        <f t="shared" si="41"/>
        <v>3.6885245901639344E-2</v>
      </c>
      <c r="BP15" s="12">
        <f t="shared" si="41"/>
        <v>4.6875E-2</v>
      </c>
      <c r="BQ15" s="12">
        <f t="shared" si="41"/>
        <v>3.2563025210084036E-2</v>
      </c>
      <c r="BR15" s="12">
        <f t="shared" ref="BR15:CX15" si="42">BR23/BR25</f>
        <v>6.8181818181818177E-2</v>
      </c>
      <c r="BS15" s="12">
        <f t="shared" si="42"/>
        <v>5.3435114503816793E-2</v>
      </c>
      <c r="BT15" s="12">
        <f t="shared" si="42"/>
        <v>2.2522522522522521E-2</v>
      </c>
      <c r="BU15" s="12">
        <f t="shared" si="42"/>
        <v>2.1052631578947368E-2</v>
      </c>
      <c r="BV15" s="12">
        <f t="shared" si="42"/>
        <v>2.9411764705882353E-2</v>
      </c>
      <c r="BW15" s="12">
        <f t="shared" si="42"/>
        <v>3.5758323057953144E-2</v>
      </c>
      <c r="BX15" s="12">
        <f t="shared" si="42"/>
        <v>3.2863849765258218E-2</v>
      </c>
      <c r="BY15" s="12">
        <f t="shared" si="42"/>
        <v>5.2884615384615384E-2</v>
      </c>
      <c r="BZ15" s="12">
        <f t="shared" si="42"/>
        <v>4.9180327868852458E-2</v>
      </c>
      <c r="CA15" s="12">
        <f t="shared" si="42"/>
        <v>2.5380710659898477E-2</v>
      </c>
      <c r="CB15" s="12">
        <f t="shared" si="42"/>
        <v>5.2023121387283239E-2</v>
      </c>
      <c r="CC15" s="12">
        <f t="shared" si="42"/>
        <v>4.2094455852156057E-2</v>
      </c>
      <c r="CD15" s="12" t="e">
        <f t="shared" si="42"/>
        <v>#DIV/0!</v>
      </c>
      <c r="CE15" s="12" t="e">
        <f t="shared" si="42"/>
        <v>#DIV/0!</v>
      </c>
      <c r="CF15" s="12" t="e">
        <f t="shared" si="42"/>
        <v>#DIV/0!</v>
      </c>
      <c r="CG15" s="12" t="e">
        <f t="shared" si="42"/>
        <v>#DIV/0!</v>
      </c>
      <c r="CH15" s="12" t="e">
        <f t="shared" si="42"/>
        <v>#DIV/0!</v>
      </c>
      <c r="CI15" s="12" t="e">
        <f t="shared" si="42"/>
        <v>#DIV/0!</v>
      </c>
      <c r="CJ15" s="12">
        <f t="shared" si="42"/>
        <v>3.6901717208622578E-2</v>
      </c>
      <c r="CK15" s="12" t="e">
        <f t="shared" si="42"/>
        <v>#DIV/0!</v>
      </c>
      <c r="CL15" s="12" t="e">
        <f t="shared" si="42"/>
        <v>#DIV/0!</v>
      </c>
      <c r="CM15" s="12" t="e">
        <f t="shared" si="42"/>
        <v>#DIV/0!</v>
      </c>
      <c r="CN15" s="12" t="e">
        <f t="shared" si="42"/>
        <v>#DIV/0!</v>
      </c>
      <c r="CO15" s="12" t="e">
        <f t="shared" si="42"/>
        <v>#DIV/0!</v>
      </c>
      <c r="CP15" s="12" t="e">
        <f t="shared" si="42"/>
        <v>#DIV/0!</v>
      </c>
      <c r="CQ15" s="12" t="e">
        <f t="shared" si="42"/>
        <v>#DIV/0!</v>
      </c>
      <c r="CR15" s="12" t="e">
        <f t="shared" si="42"/>
        <v>#DIV/0!</v>
      </c>
      <c r="CS15" s="12" t="e">
        <f t="shared" si="42"/>
        <v>#DIV/0!</v>
      </c>
      <c r="CT15" s="12" t="e">
        <f t="shared" si="42"/>
        <v>#DIV/0!</v>
      </c>
      <c r="CU15" s="12" t="e">
        <f t="shared" si="42"/>
        <v>#DIV/0!</v>
      </c>
      <c r="CV15" s="12" t="e">
        <f t="shared" si="42"/>
        <v>#DIV/0!</v>
      </c>
      <c r="CW15" s="12" t="e">
        <f t="shared" si="42"/>
        <v>#DIV/0!</v>
      </c>
      <c r="CX15" s="12" t="e">
        <f t="shared" si="42"/>
        <v>#DIV/0!</v>
      </c>
      <c r="CY15" s="12" t="e">
        <f t="shared" ref="CY15:FJ15" si="43">CY23/CY25</f>
        <v>#DIV/0!</v>
      </c>
      <c r="CZ15" s="12" t="e">
        <f t="shared" si="43"/>
        <v>#DIV/0!</v>
      </c>
      <c r="DA15" s="12" t="e">
        <f t="shared" si="43"/>
        <v>#DIV/0!</v>
      </c>
      <c r="DB15" s="12" t="e">
        <f t="shared" si="43"/>
        <v>#DIV/0!</v>
      </c>
      <c r="DC15" s="12" t="e">
        <f t="shared" si="43"/>
        <v>#DIV/0!</v>
      </c>
      <c r="DD15" s="12" t="e">
        <f t="shared" si="43"/>
        <v>#DIV/0!</v>
      </c>
      <c r="DE15" s="12" t="e">
        <f t="shared" si="43"/>
        <v>#DIV/0!</v>
      </c>
      <c r="DF15" s="12" t="e">
        <f t="shared" si="43"/>
        <v>#DIV/0!</v>
      </c>
      <c r="DG15" s="12" t="e">
        <f t="shared" si="43"/>
        <v>#DIV/0!</v>
      </c>
      <c r="DH15" s="12" t="e">
        <f t="shared" si="43"/>
        <v>#DIV/0!</v>
      </c>
      <c r="DI15" s="12" t="e">
        <f t="shared" si="43"/>
        <v>#DIV/0!</v>
      </c>
      <c r="DJ15" s="12" t="e">
        <f t="shared" si="43"/>
        <v>#DIV/0!</v>
      </c>
      <c r="DK15" s="12" t="e">
        <f t="shared" si="43"/>
        <v>#DIV/0!</v>
      </c>
      <c r="DL15" s="12" t="e">
        <f t="shared" si="43"/>
        <v>#DIV/0!</v>
      </c>
      <c r="DM15" s="12" t="e">
        <f t="shared" si="43"/>
        <v>#DIV/0!</v>
      </c>
      <c r="DN15" s="12" t="e">
        <f t="shared" si="43"/>
        <v>#DIV/0!</v>
      </c>
      <c r="DO15" s="12" t="e">
        <f t="shared" si="43"/>
        <v>#DIV/0!</v>
      </c>
      <c r="DP15" s="12" t="e">
        <f t="shared" si="43"/>
        <v>#DIV/0!</v>
      </c>
      <c r="DQ15" s="12" t="e">
        <f t="shared" si="43"/>
        <v>#DIV/0!</v>
      </c>
      <c r="DR15" s="12" t="e">
        <f t="shared" si="43"/>
        <v>#DIV/0!</v>
      </c>
      <c r="DS15" s="12" t="e">
        <f t="shared" si="43"/>
        <v>#DIV/0!</v>
      </c>
      <c r="DT15" s="12" t="e">
        <f t="shared" si="43"/>
        <v>#DIV/0!</v>
      </c>
      <c r="DU15" s="12" t="e">
        <f t="shared" si="43"/>
        <v>#DIV/0!</v>
      </c>
      <c r="DV15" s="12" t="e">
        <f t="shared" si="43"/>
        <v>#DIV/0!</v>
      </c>
      <c r="DW15" s="12" t="e">
        <f t="shared" si="43"/>
        <v>#DIV/0!</v>
      </c>
      <c r="DX15" s="12" t="e">
        <f t="shared" si="43"/>
        <v>#DIV/0!</v>
      </c>
      <c r="DY15" s="12" t="e">
        <f t="shared" si="43"/>
        <v>#DIV/0!</v>
      </c>
      <c r="DZ15" s="12" t="e">
        <f t="shared" si="43"/>
        <v>#DIV/0!</v>
      </c>
      <c r="EA15" s="12" t="e">
        <f t="shared" si="43"/>
        <v>#DIV/0!</v>
      </c>
      <c r="EB15" s="12" t="e">
        <f t="shared" si="43"/>
        <v>#DIV/0!</v>
      </c>
      <c r="EC15" s="12" t="e">
        <f t="shared" si="43"/>
        <v>#DIV/0!</v>
      </c>
      <c r="ED15" s="12" t="e">
        <f t="shared" si="43"/>
        <v>#DIV/0!</v>
      </c>
      <c r="EE15" s="12" t="e">
        <f t="shared" si="43"/>
        <v>#DIV/0!</v>
      </c>
      <c r="EF15" s="12" t="e">
        <f t="shared" si="43"/>
        <v>#DIV/0!</v>
      </c>
      <c r="EG15" s="12" t="e">
        <f t="shared" si="43"/>
        <v>#DIV/0!</v>
      </c>
      <c r="EH15" s="12" t="e">
        <f t="shared" si="43"/>
        <v>#DIV/0!</v>
      </c>
      <c r="EI15" s="12" t="e">
        <f t="shared" si="43"/>
        <v>#DIV/0!</v>
      </c>
      <c r="EJ15" s="12" t="e">
        <f t="shared" si="43"/>
        <v>#DIV/0!</v>
      </c>
      <c r="EK15" s="12" t="e">
        <f t="shared" si="43"/>
        <v>#DIV/0!</v>
      </c>
      <c r="EL15" s="12" t="e">
        <f t="shared" si="43"/>
        <v>#DIV/0!</v>
      </c>
      <c r="EM15" s="12" t="e">
        <f t="shared" si="43"/>
        <v>#DIV/0!</v>
      </c>
      <c r="EN15" s="12" t="e">
        <f t="shared" si="43"/>
        <v>#DIV/0!</v>
      </c>
      <c r="EO15" s="12" t="e">
        <f t="shared" si="43"/>
        <v>#DIV/0!</v>
      </c>
      <c r="EP15" s="12" t="e">
        <f t="shared" si="43"/>
        <v>#DIV/0!</v>
      </c>
      <c r="EQ15" s="12" t="e">
        <f t="shared" si="43"/>
        <v>#DIV/0!</v>
      </c>
      <c r="ER15" s="12" t="e">
        <f t="shared" si="43"/>
        <v>#DIV/0!</v>
      </c>
      <c r="ES15" s="12" t="e">
        <f t="shared" si="43"/>
        <v>#DIV/0!</v>
      </c>
      <c r="ET15" s="12" t="e">
        <f t="shared" si="43"/>
        <v>#DIV/0!</v>
      </c>
      <c r="EU15" s="12" t="e">
        <f t="shared" si="43"/>
        <v>#DIV/0!</v>
      </c>
      <c r="EV15" s="12" t="e">
        <f t="shared" si="43"/>
        <v>#DIV/0!</v>
      </c>
      <c r="EW15" s="12" t="e">
        <f t="shared" si="43"/>
        <v>#DIV/0!</v>
      </c>
      <c r="EX15" s="12" t="e">
        <f t="shared" si="43"/>
        <v>#DIV/0!</v>
      </c>
      <c r="EY15" s="12" t="e">
        <f t="shared" si="43"/>
        <v>#DIV/0!</v>
      </c>
      <c r="EZ15" s="12" t="e">
        <f t="shared" si="43"/>
        <v>#DIV/0!</v>
      </c>
      <c r="FA15" s="12" t="e">
        <f t="shared" si="43"/>
        <v>#DIV/0!</v>
      </c>
      <c r="FB15" s="12" t="e">
        <f t="shared" si="43"/>
        <v>#DIV/0!</v>
      </c>
      <c r="FC15" s="12" t="e">
        <f t="shared" si="43"/>
        <v>#DIV/0!</v>
      </c>
      <c r="FD15" s="12" t="e">
        <f t="shared" si="43"/>
        <v>#DIV/0!</v>
      </c>
      <c r="FE15" s="12" t="e">
        <f t="shared" si="43"/>
        <v>#DIV/0!</v>
      </c>
      <c r="FF15" s="12" t="e">
        <f t="shared" si="43"/>
        <v>#DIV/0!</v>
      </c>
      <c r="FG15" s="12" t="e">
        <f t="shared" si="43"/>
        <v>#DIV/0!</v>
      </c>
      <c r="FH15" s="12" t="e">
        <f t="shared" si="43"/>
        <v>#DIV/0!</v>
      </c>
      <c r="FI15" s="12" t="e">
        <f t="shared" si="43"/>
        <v>#DIV/0!</v>
      </c>
      <c r="FJ15" s="12" t="e">
        <f t="shared" si="43"/>
        <v>#DIV/0!</v>
      </c>
      <c r="FK15" s="12" t="e">
        <f t="shared" ref="FK15:HV15" si="44">FK23/FK25</f>
        <v>#DIV/0!</v>
      </c>
      <c r="FL15" s="12" t="e">
        <f t="shared" si="44"/>
        <v>#DIV/0!</v>
      </c>
      <c r="FM15" s="12" t="e">
        <f t="shared" si="44"/>
        <v>#DIV/0!</v>
      </c>
      <c r="FN15" s="12" t="e">
        <f t="shared" si="44"/>
        <v>#DIV/0!</v>
      </c>
      <c r="FO15" s="12" t="e">
        <f t="shared" si="44"/>
        <v>#DIV/0!</v>
      </c>
      <c r="FP15" s="12" t="e">
        <f t="shared" si="44"/>
        <v>#DIV/0!</v>
      </c>
      <c r="FQ15" s="12" t="e">
        <f t="shared" si="44"/>
        <v>#DIV/0!</v>
      </c>
      <c r="FR15" s="12" t="e">
        <f t="shared" si="44"/>
        <v>#DIV/0!</v>
      </c>
      <c r="FS15" s="12" t="e">
        <f t="shared" si="44"/>
        <v>#DIV/0!</v>
      </c>
      <c r="FT15" s="12" t="e">
        <f t="shared" si="44"/>
        <v>#DIV/0!</v>
      </c>
      <c r="FU15" s="12" t="e">
        <f t="shared" si="44"/>
        <v>#DIV/0!</v>
      </c>
      <c r="FV15" s="12" t="e">
        <f t="shared" si="44"/>
        <v>#DIV/0!</v>
      </c>
      <c r="FW15" s="12" t="e">
        <f t="shared" si="44"/>
        <v>#DIV/0!</v>
      </c>
      <c r="FX15" s="12" t="e">
        <f t="shared" si="44"/>
        <v>#DIV/0!</v>
      </c>
      <c r="FY15" s="12" t="e">
        <f t="shared" si="44"/>
        <v>#DIV/0!</v>
      </c>
      <c r="FZ15" s="12" t="e">
        <f t="shared" si="44"/>
        <v>#DIV/0!</v>
      </c>
      <c r="GA15" s="12" t="e">
        <f t="shared" si="44"/>
        <v>#DIV/0!</v>
      </c>
      <c r="GB15" s="12" t="e">
        <f t="shared" si="44"/>
        <v>#DIV/0!</v>
      </c>
      <c r="GC15" s="12" t="e">
        <f t="shared" si="44"/>
        <v>#DIV/0!</v>
      </c>
      <c r="GD15" s="12" t="e">
        <f t="shared" si="44"/>
        <v>#DIV/0!</v>
      </c>
      <c r="GE15" s="12" t="e">
        <f t="shared" si="44"/>
        <v>#DIV/0!</v>
      </c>
      <c r="GF15" s="12" t="e">
        <f t="shared" si="44"/>
        <v>#DIV/0!</v>
      </c>
      <c r="GG15" s="12" t="e">
        <f t="shared" si="44"/>
        <v>#DIV/0!</v>
      </c>
      <c r="GH15" s="12" t="e">
        <f t="shared" si="44"/>
        <v>#DIV/0!</v>
      </c>
      <c r="GI15" s="12" t="e">
        <f t="shared" si="44"/>
        <v>#DIV/0!</v>
      </c>
      <c r="GJ15" s="12" t="e">
        <f t="shared" si="44"/>
        <v>#DIV/0!</v>
      </c>
      <c r="GK15" s="12" t="e">
        <f t="shared" si="44"/>
        <v>#DIV/0!</v>
      </c>
      <c r="GL15" s="12" t="e">
        <f t="shared" si="44"/>
        <v>#DIV/0!</v>
      </c>
      <c r="GM15" s="12" t="e">
        <f t="shared" si="44"/>
        <v>#DIV/0!</v>
      </c>
      <c r="GN15" s="12" t="e">
        <f t="shared" si="44"/>
        <v>#DIV/0!</v>
      </c>
      <c r="GO15" s="12" t="e">
        <f t="shared" si="44"/>
        <v>#DIV/0!</v>
      </c>
      <c r="GP15" s="12" t="e">
        <f t="shared" si="44"/>
        <v>#DIV/0!</v>
      </c>
      <c r="GQ15" s="12" t="e">
        <f t="shared" si="44"/>
        <v>#DIV/0!</v>
      </c>
      <c r="GR15" s="12" t="e">
        <f t="shared" si="44"/>
        <v>#DIV/0!</v>
      </c>
      <c r="GS15" s="12" t="e">
        <f t="shared" si="44"/>
        <v>#DIV/0!</v>
      </c>
      <c r="GT15" s="12" t="e">
        <f t="shared" si="44"/>
        <v>#DIV/0!</v>
      </c>
      <c r="GU15" s="12" t="e">
        <f t="shared" si="44"/>
        <v>#DIV/0!</v>
      </c>
      <c r="GV15" s="12" t="e">
        <f t="shared" si="44"/>
        <v>#DIV/0!</v>
      </c>
      <c r="GW15" s="12" t="e">
        <f t="shared" si="44"/>
        <v>#DIV/0!</v>
      </c>
      <c r="GX15" s="12" t="e">
        <f t="shared" si="44"/>
        <v>#DIV/0!</v>
      </c>
      <c r="GY15" s="12" t="e">
        <f t="shared" si="44"/>
        <v>#DIV/0!</v>
      </c>
      <c r="GZ15" s="12" t="e">
        <f t="shared" si="44"/>
        <v>#DIV/0!</v>
      </c>
      <c r="HA15" s="12" t="e">
        <f t="shared" si="44"/>
        <v>#DIV/0!</v>
      </c>
      <c r="HB15" s="12" t="e">
        <f t="shared" si="44"/>
        <v>#DIV/0!</v>
      </c>
      <c r="HC15" s="12" t="e">
        <f t="shared" si="44"/>
        <v>#DIV/0!</v>
      </c>
      <c r="HD15" s="12" t="e">
        <f t="shared" si="44"/>
        <v>#DIV/0!</v>
      </c>
      <c r="HE15" s="12" t="e">
        <f t="shared" si="44"/>
        <v>#DIV/0!</v>
      </c>
      <c r="HF15" s="12" t="e">
        <f t="shared" si="44"/>
        <v>#DIV/0!</v>
      </c>
      <c r="HG15" s="12" t="e">
        <f t="shared" si="44"/>
        <v>#DIV/0!</v>
      </c>
      <c r="HH15" s="12" t="e">
        <f t="shared" si="44"/>
        <v>#DIV/0!</v>
      </c>
      <c r="HI15" s="12" t="e">
        <f t="shared" si="44"/>
        <v>#DIV/0!</v>
      </c>
      <c r="HJ15" s="12" t="e">
        <f t="shared" si="44"/>
        <v>#DIV/0!</v>
      </c>
      <c r="HK15" s="12" t="e">
        <f t="shared" si="44"/>
        <v>#DIV/0!</v>
      </c>
      <c r="HL15" s="12" t="e">
        <f t="shared" si="44"/>
        <v>#DIV/0!</v>
      </c>
      <c r="HM15" s="12" t="e">
        <f t="shared" si="44"/>
        <v>#DIV/0!</v>
      </c>
      <c r="HN15" s="12" t="e">
        <f t="shared" si="44"/>
        <v>#DIV/0!</v>
      </c>
      <c r="HO15" s="12" t="e">
        <f t="shared" si="44"/>
        <v>#DIV/0!</v>
      </c>
      <c r="HP15" s="12" t="e">
        <f t="shared" si="44"/>
        <v>#DIV/0!</v>
      </c>
      <c r="HQ15" s="12" t="e">
        <f t="shared" si="44"/>
        <v>#DIV/0!</v>
      </c>
      <c r="HR15" s="12" t="e">
        <f t="shared" si="44"/>
        <v>#DIV/0!</v>
      </c>
      <c r="HS15" s="12" t="e">
        <f t="shared" si="44"/>
        <v>#DIV/0!</v>
      </c>
      <c r="HT15" s="12" t="e">
        <f t="shared" si="44"/>
        <v>#DIV/0!</v>
      </c>
      <c r="HU15" s="12" t="e">
        <f t="shared" si="44"/>
        <v>#DIV/0!</v>
      </c>
      <c r="HV15" s="12" t="e">
        <f t="shared" si="44"/>
        <v>#DIV/0!</v>
      </c>
      <c r="HW15" s="12" t="e">
        <f t="shared" ref="HW15:KH15" si="45">HW23/HW25</f>
        <v>#DIV/0!</v>
      </c>
      <c r="HX15" s="12" t="e">
        <f t="shared" si="45"/>
        <v>#DIV/0!</v>
      </c>
      <c r="HY15" s="12" t="e">
        <f t="shared" si="45"/>
        <v>#DIV/0!</v>
      </c>
      <c r="HZ15" s="12" t="e">
        <f t="shared" si="45"/>
        <v>#DIV/0!</v>
      </c>
      <c r="IA15" s="12" t="e">
        <f t="shared" si="45"/>
        <v>#DIV/0!</v>
      </c>
      <c r="IB15" s="12" t="e">
        <f t="shared" si="45"/>
        <v>#DIV/0!</v>
      </c>
      <c r="IC15" s="12" t="e">
        <f t="shared" si="45"/>
        <v>#DIV/0!</v>
      </c>
      <c r="ID15" s="12" t="e">
        <f t="shared" si="45"/>
        <v>#DIV/0!</v>
      </c>
      <c r="IE15" s="12" t="e">
        <f t="shared" si="45"/>
        <v>#DIV/0!</v>
      </c>
      <c r="IF15" s="12" t="e">
        <f t="shared" si="45"/>
        <v>#DIV/0!</v>
      </c>
      <c r="IG15" s="12" t="e">
        <f t="shared" si="45"/>
        <v>#DIV/0!</v>
      </c>
      <c r="IH15" s="12" t="e">
        <f t="shared" si="45"/>
        <v>#DIV/0!</v>
      </c>
      <c r="II15" s="12" t="e">
        <f t="shared" si="45"/>
        <v>#DIV/0!</v>
      </c>
      <c r="IJ15" s="12" t="e">
        <f t="shared" si="45"/>
        <v>#DIV/0!</v>
      </c>
      <c r="IK15" s="12" t="e">
        <f t="shared" si="45"/>
        <v>#DIV/0!</v>
      </c>
      <c r="IL15" s="12" t="e">
        <f t="shared" si="45"/>
        <v>#DIV/0!</v>
      </c>
      <c r="IM15" s="12" t="e">
        <f t="shared" si="45"/>
        <v>#DIV/0!</v>
      </c>
      <c r="IN15" s="12" t="e">
        <f t="shared" si="45"/>
        <v>#DIV/0!</v>
      </c>
      <c r="IO15" s="12" t="e">
        <f t="shared" si="45"/>
        <v>#DIV/0!</v>
      </c>
      <c r="IP15" s="12" t="e">
        <f t="shared" si="45"/>
        <v>#DIV/0!</v>
      </c>
      <c r="IQ15" s="12" t="e">
        <f t="shared" si="45"/>
        <v>#DIV/0!</v>
      </c>
      <c r="IR15" s="12" t="e">
        <f t="shared" si="45"/>
        <v>#DIV/0!</v>
      </c>
      <c r="IS15" s="12" t="e">
        <f t="shared" si="45"/>
        <v>#DIV/0!</v>
      </c>
      <c r="IT15" s="12" t="e">
        <f t="shared" si="45"/>
        <v>#DIV/0!</v>
      </c>
      <c r="IU15" s="12" t="e">
        <f t="shared" si="45"/>
        <v>#DIV/0!</v>
      </c>
      <c r="IV15" s="12" t="e">
        <f t="shared" si="45"/>
        <v>#DIV/0!</v>
      </c>
      <c r="IW15" s="12" t="e">
        <f t="shared" si="45"/>
        <v>#DIV/0!</v>
      </c>
      <c r="IX15" s="12" t="e">
        <f t="shared" si="45"/>
        <v>#DIV/0!</v>
      </c>
      <c r="IY15" s="12" t="e">
        <f t="shared" si="45"/>
        <v>#DIV/0!</v>
      </c>
      <c r="IZ15" s="12" t="e">
        <f t="shared" si="45"/>
        <v>#DIV/0!</v>
      </c>
      <c r="JA15" s="12" t="e">
        <f t="shared" si="45"/>
        <v>#DIV/0!</v>
      </c>
      <c r="JB15" s="12" t="e">
        <f t="shared" si="45"/>
        <v>#DIV/0!</v>
      </c>
      <c r="JC15" s="12" t="e">
        <f t="shared" si="45"/>
        <v>#DIV/0!</v>
      </c>
      <c r="JD15" s="12" t="e">
        <f t="shared" si="45"/>
        <v>#DIV/0!</v>
      </c>
      <c r="JE15" s="12" t="e">
        <f t="shared" si="45"/>
        <v>#DIV/0!</v>
      </c>
      <c r="JF15" s="12" t="e">
        <f t="shared" si="45"/>
        <v>#DIV/0!</v>
      </c>
      <c r="JG15" s="12" t="e">
        <f t="shared" si="45"/>
        <v>#DIV/0!</v>
      </c>
      <c r="JH15" s="12" t="e">
        <f t="shared" si="45"/>
        <v>#DIV/0!</v>
      </c>
      <c r="JI15" s="12" t="e">
        <f t="shared" si="45"/>
        <v>#DIV/0!</v>
      </c>
      <c r="JJ15" s="12" t="e">
        <f t="shared" si="45"/>
        <v>#DIV/0!</v>
      </c>
      <c r="JK15" s="12" t="e">
        <f t="shared" si="45"/>
        <v>#DIV/0!</v>
      </c>
      <c r="JL15" s="12" t="e">
        <f t="shared" si="45"/>
        <v>#DIV/0!</v>
      </c>
      <c r="JM15" s="12" t="e">
        <f t="shared" si="45"/>
        <v>#DIV/0!</v>
      </c>
      <c r="JN15" s="12" t="e">
        <f t="shared" si="45"/>
        <v>#DIV/0!</v>
      </c>
      <c r="JO15" s="12" t="e">
        <f t="shared" si="45"/>
        <v>#DIV/0!</v>
      </c>
      <c r="JP15" s="12" t="e">
        <f t="shared" si="45"/>
        <v>#DIV/0!</v>
      </c>
      <c r="JQ15" s="12" t="e">
        <f t="shared" si="45"/>
        <v>#DIV/0!</v>
      </c>
      <c r="JR15" s="12" t="e">
        <f t="shared" si="45"/>
        <v>#DIV/0!</v>
      </c>
      <c r="JS15" s="12" t="e">
        <f t="shared" si="45"/>
        <v>#DIV/0!</v>
      </c>
      <c r="JT15" s="12" t="e">
        <f t="shared" si="45"/>
        <v>#DIV/0!</v>
      </c>
      <c r="JU15" s="12" t="e">
        <f t="shared" si="45"/>
        <v>#DIV/0!</v>
      </c>
      <c r="JV15" s="12" t="e">
        <f t="shared" si="45"/>
        <v>#DIV/0!</v>
      </c>
      <c r="JW15" s="12" t="e">
        <f t="shared" si="45"/>
        <v>#DIV/0!</v>
      </c>
      <c r="JX15" s="12" t="e">
        <f t="shared" si="45"/>
        <v>#DIV/0!</v>
      </c>
      <c r="JY15" s="12" t="e">
        <f t="shared" si="45"/>
        <v>#DIV/0!</v>
      </c>
      <c r="JZ15" s="12" t="e">
        <f t="shared" si="45"/>
        <v>#DIV/0!</v>
      </c>
      <c r="KA15" s="12" t="e">
        <f t="shared" si="45"/>
        <v>#DIV/0!</v>
      </c>
      <c r="KB15" s="12" t="e">
        <f t="shared" si="45"/>
        <v>#DIV/0!</v>
      </c>
      <c r="KC15" s="12" t="e">
        <f t="shared" si="45"/>
        <v>#DIV/0!</v>
      </c>
      <c r="KD15" s="12" t="e">
        <f t="shared" si="45"/>
        <v>#DIV/0!</v>
      </c>
      <c r="KE15" s="12" t="e">
        <f t="shared" si="45"/>
        <v>#DIV/0!</v>
      </c>
      <c r="KF15" s="12" t="e">
        <f t="shared" si="45"/>
        <v>#DIV/0!</v>
      </c>
      <c r="KG15" s="12" t="e">
        <f t="shared" si="45"/>
        <v>#DIV/0!</v>
      </c>
      <c r="KH15" s="12" t="e">
        <f t="shared" si="45"/>
        <v>#DIV/0!</v>
      </c>
      <c r="KI15" s="12" t="e">
        <f t="shared" ref="KI15:MT15" si="46">KI23/KI25</f>
        <v>#DIV/0!</v>
      </c>
      <c r="KJ15" s="12" t="e">
        <f t="shared" si="46"/>
        <v>#DIV/0!</v>
      </c>
      <c r="KK15" s="12" t="e">
        <f t="shared" si="46"/>
        <v>#DIV/0!</v>
      </c>
      <c r="KL15" s="12" t="e">
        <f t="shared" si="46"/>
        <v>#DIV/0!</v>
      </c>
      <c r="KM15" s="12" t="e">
        <f t="shared" si="46"/>
        <v>#DIV/0!</v>
      </c>
      <c r="KN15" s="12" t="e">
        <f t="shared" si="46"/>
        <v>#DIV/0!</v>
      </c>
      <c r="KO15" s="12" t="e">
        <f t="shared" si="46"/>
        <v>#DIV/0!</v>
      </c>
      <c r="KP15" s="12" t="e">
        <f t="shared" si="46"/>
        <v>#DIV/0!</v>
      </c>
      <c r="KQ15" s="12" t="e">
        <f t="shared" si="46"/>
        <v>#DIV/0!</v>
      </c>
      <c r="KR15" s="12" t="e">
        <f t="shared" si="46"/>
        <v>#DIV/0!</v>
      </c>
      <c r="KS15" s="12" t="e">
        <f t="shared" si="46"/>
        <v>#DIV/0!</v>
      </c>
      <c r="KT15" s="12" t="e">
        <f t="shared" si="46"/>
        <v>#DIV/0!</v>
      </c>
      <c r="KU15" s="12" t="e">
        <f t="shared" si="46"/>
        <v>#DIV/0!</v>
      </c>
      <c r="KV15" s="12" t="e">
        <f t="shared" si="46"/>
        <v>#DIV/0!</v>
      </c>
      <c r="KW15" s="12" t="e">
        <f t="shared" si="46"/>
        <v>#DIV/0!</v>
      </c>
      <c r="KX15" s="12" t="e">
        <f t="shared" si="46"/>
        <v>#DIV/0!</v>
      </c>
      <c r="KY15" s="12" t="e">
        <f t="shared" si="46"/>
        <v>#DIV/0!</v>
      </c>
      <c r="KZ15" s="12" t="e">
        <f t="shared" si="46"/>
        <v>#DIV/0!</v>
      </c>
      <c r="LA15" s="12" t="e">
        <f t="shared" si="46"/>
        <v>#DIV/0!</v>
      </c>
      <c r="LB15" s="12" t="e">
        <f t="shared" si="46"/>
        <v>#DIV/0!</v>
      </c>
      <c r="LC15" s="12" t="e">
        <f t="shared" si="46"/>
        <v>#DIV/0!</v>
      </c>
      <c r="LD15" s="12" t="e">
        <f t="shared" si="46"/>
        <v>#DIV/0!</v>
      </c>
      <c r="LE15" s="12" t="e">
        <f t="shared" si="46"/>
        <v>#DIV/0!</v>
      </c>
      <c r="LF15" s="12" t="e">
        <f t="shared" si="46"/>
        <v>#DIV/0!</v>
      </c>
      <c r="LG15" s="12" t="e">
        <f t="shared" si="46"/>
        <v>#DIV/0!</v>
      </c>
      <c r="LH15" s="12" t="e">
        <f t="shared" si="46"/>
        <v>#DIV/0!</v>
      </c>
      <c r="LI15" s="12" t="e">
        <f t="shared" si="46"/>
        <v>#DIV/0!</v>
      </c>
      <c r="LJ15" s="12" t="e">
        <f t="shared" si="46"/>
        <v>#DIV/0!</v>
      </c>
      <c r="LK15" s="12" t="e">
        <f t="shared" si="46"/>
        <v>#DIV/0!</v>
      </c>
      <c r="LL15" s="12" t="e">
        <f t="shared" si="46"/>
        <v>#DIV/0!</v>
      </c>
      <c r="LM15" s="12" t="e">
        <f t="shared" si="46"/>
        <v>#DIV/0!</v>
      </c>
      <c r="LN15" s="12" t="e">
        <f t="shared" si="46"/>
        <v>#DIV/0!</v>
      </c>
      <c r="LO15" s="12" t="e">
        <f t="shared" si="46"/>
        <v>#DIV/0!</v>
      </c>
      <c r="LP15" s="12" t="e">
        <f t="shared" si="46"/>
        <v>#DIV/0!</v>
      </c>
      <c r="LQ15" s="12" t="e">
        <f t="shared" si="46"/>
        <v>#DIV/0!</v>
      </c>
      <c r="LR15" s="12" t="e">
        <f t="shared" si="46"/>
        <v>#DIV/0!</v>
      </c>
      <c r="LS15" s="12" t="e">
        <f t="shared" si="46"/>
        <v>#DIV/0!</v>
      </c>
      <c r="LT15" s="12" t="e">
        <f t="shared" si="46"/>
        <v>#DIV/0!</v>
      </c>
      <c r="LU15" s="12" t="e">
        <f t="shared" si="46"/>
        <v>#DIV/0!</v>
      </c>
      <c r="LV15" s="12" t="e">
        <f t="shared" si="46"/>
        <v>#DIV/0!</v>
      </c>
      <c r="LW15" s="12" t="e">
        <f t="shared" si="46"/>
        <v>#DIV/0!</v>
      </c>
      <c r="LX15" s="12" t="e">
        <f t="shared" si="46"/>
        <v>#DIV/0!</v>
      </c>
      <c r="LY15" s="12" t="e">
        <f t="shared" si="46"/>
        <v>#DIV/0!</v>
      </c>
      <c r="LZ15" s="12" t="e">
        <f t="shared" si="46"/>
        <v>#DIV/0!</v>
      </c>
      <c r="MA15" s="12" t="e">
        <f t="shared" si="46"/>
        <v>#DIV/0!</v>
      </c>
      <c r="MB15" s="12" t="e">
        <f t="shared" si="46"/>
        <v>#DIV/0!</v>
      </c>
      <c r="MC15" s="12" t="e">
        <f t="shared" si="46"/>
        <v>#DIV/0!</v>
      </c>
      <c r="MD15" s="12" t="e">
        <f t="shared" si="46"/>
        <v>#DIV/0!</v>
      </c>
      <c r="ME15" s="12" t="e">
        <f t="shared" si="46"/>
        <v>#DIV/0!</v>
      </c>
      <c r="MF15" s="12" t="e">
        <f t="shared" si="46"/>
        <v>#DIV/0!</v>
      </c>
      <c r="MG15" s="12" t="e">
        <f t="shared" si="46"/>
        <v>#DIV/0!</v>
      </c>
      <c r="MH15" s="12" t="e">
        <f t="shared" si="46"/>
        <v>#DIV/0!</v>
      </c>
      <c r="MI15" s="12" t="e">
        <f t="shared" si="46"/>
        <v>#DIV/0!</v>
      </c>
      <c r="MJ15" s="12" t="e">
        <f t="shared" si="46"/>
        <v>#DIV/0!</v>
      </c>
      <c r="MK15" s="12" t="e">
        <f t="shared" si="46"/>
        <v>#DIV/0!</v>
      </c>
      <c r="ML15" s="12" t="e">
        <f t="shared" si="46"/>
        <v>#DIV/0!</v>
      </c>
      <c r="MM15" s="12" t="e">
        <f t="shared" si="46"/>
        <v>#DIV/0!</v>
      </c>
      <c r="MN15" s="12" t="e">
        <f t="shared" si="46"/>
        <v>#DIV/0!</v>
      </c>
      <c r="MO15" s="12" t="e">
        <f t="shared" si="46"/>
        <v>#DIV/0!</v>
      </c>
      <c r="MP15" s="12" t="e">
        <f t="shared" si="46"/>
        <v>#DIV/0!</v>
      </c>
      <c r="MQ15" s="12" t="e">
        <f t="shared" si="46"/>
        <v>#DIV/0!</v>
      </c>
      <c r="MR15" s="12" t="e">
        <f t="shared" si="46"/>
        <v>#DIV/0!</v>
      </c>
      <c r="MS15" s="12" t="e">
        <f t="shared" si="46"/>
        <v>#DIV/0!</v>
      </c>
      <c r="MT15" s="12" t="e">
        <f t="shared" si="46"/>
        <v>#DIV/0!</v>
      </c>
      <c r="MU15" s="12" t="e">
        <f t="shared" ref="MU15:ND15" si="47">MU23/MU25</f>
        <v>#DIV/0!</v>
      </c>
      <c r="MV15" s="12" t="e">
        <f t="shared" si="47"/>
        <v>#DIV/0!</v>
      </c>
      <c r="MW15" s="12" t="e">
        <f t="shared" si="47"/>
        <v>#DIV/0!</v>
      </c>
      <c r="MX15" s="12" t="e">
        <f t="shared" si="47"/>
        <v>#DIV/0!</v>
      </c>
      <c r="MY15" s="12" t="e">
        <f t="shared" si="47"/>
        <v>#DIV/0!</v>
      </c>
      <c r="MZ15" s="12" t="e">
        <f t="shared" si="47"/>
        <v>#DIV/0!</v>
      </c>
      <c r="NA15" s="12" t="e">
        <f t="shared" si="47"/>
        <v>#DIV/0!</v>
      </c>
      <c r="NB15" s="12" t="e">
        <f t="shared" si="47"/>
        <v>#DIV/0!</v>
      </c>
      <c r="NC15" s="12" t="e">
        <f t="shared" si="47"/>
        <v>#DIV/0!</v>
      </c>
      <c r="ND15" s="12">
        <f t="shared" si="47"/>
        <v>3.8122243226212979E-2</v>
      </c>
    </row>
    <row r="16" spans="1:368" x14ac:dyDescent="0.3">
      <c r="A16" s="9">
        <v>46063</v>
      </c>
      <c r="B16" s="2">
        <v>11</v>
      </c>
      <c r="C16" s="2">
        <v>131</v>
      </c>
      <c r="E16" s="2">
        <v>3</v>
      </c>
      <c r="F16" s="2">
        <v>7</v>
      </c>
      <c r="H16" s="2">
        <v>142</v>
      </c>
      <c r="I16" s="2">
        <v>10</v>
      </c>
      <c r="N16" s="16" t="s">
        <v>178</v>
      </c>
      <c r="O16" s="2" t="s">
        <v>147</v>
      </c>
      <c r="P16" s="13">
        <f>GETPIVOTDATA("Somme de Nombre des piéces controlés",$N$6,"detecter par","contrôle technique")+GETPIVOTDATA("Somme de Nombre des piéces controlés",$N$6,"detecter par","Assemblage mécanique")</f>
        <v>503</v>
      </c>
      <c r="AL16" s="48" t="s">
        <v>623</v>
      </c>
      <c r="AM16" s="11">
        <f t="shared" ref="AM16:CX16" si="48">1-AM13</f>
        <v>0.73529411764705888</v>
      </c>
      <c r="AN16" s="11">
        <f t="shared" si="48"/>
        <v>0.84210526315789469</v>
      </c>
      <c r="AO16" s="11">
        <f t="shared" si="48"/>
        <v>0.90476190476190477</v>
      </c>
      <c r="AP16" s="11">
        <f t="shared" si="48"/>
        <v>0.95238095238095233</v>
      </c>
      <c r="AQ16" s="11">
        <f t="shared" si="48"/>
        <v>0.72</v>
      </c>
      <c r="AR16" s="11">
        <f t="shared" si="48"/>
        <v>0.81666666666666665</v>
      </c>
      <c r="AS16" s="11">
        <f t="shared" si="48"/>
        <v>0.91428571428571426</v>
      </c>
      <c r="AT16" s="11">
        <f t="shared" si="48"/>
        <v>0.85714285714285721</v>
      </c>
      <c r="AU16" s="11">
        <f t="shared" si="48"/>
        <v>0.875</v>
      </c>
      <c r="AV16" s="11">
        <f t="shared" si="48"/>
        <v>0.91666666666666663</v>
      </c>
      <c r="AW16" s="11">
        <f t="shared" si="48"/>
        <v>0.8666666666666667</v>
      </c>
      <c r="AX16" s="11">
        <f t="shared" si="48"/>
        <v>0.88442211055276387</v>
      </c>
      <c r="AY16" s="11">
        <f t="shared" si="48"/>
        <v>0.95</v>
      </c>
      <c r="AZ16" s="11">
        <f t="shared" si="48"/>
        <v>0.92500000000000004</v>
      </c>
      <c r="BA16" s="11">
        <f t="shared" si="48"/>
        <v>0.93333333333333335</v>
      </c>
      <c r="BB16" s="11">
        <f t="shared" si="48"/>
        <v>0.90909090909090906</v>
      </c>
      <c r="BC16" s="11">
        <f t="shared" si="48"/>
        <v>0.89473684210526316</v>
      </c>
      <c r="BD16" s="11">
        <f t="shared" si="48"/>
        <v>0.921875</v>
      </c>
      <c r="BE16" s="11">
        <f t="shared" si="48"/>
        <v>0.94444444444444442</v>
      </c>
      <c r="BF16" s="11">
        <f t="shared" si="48"/>
        <v>0.88095238095238093</v>
      </c>
      <c r="BG16" s="11">
        <f t="shared" si="48"/>
        <v>0.8529411764705882</v>
      </c>
      <c r="BH16" s="11">
        <f t="shared" si="48"/>
        <v>0.94444444444444442</v>
      </c>
      <c r="BI16" s="11">
        <f t="shared" si="48"/>
        <v>0.89130434782608692</v>
      </c>
      <c r="BJ16" s="11">
        <f t="shared" si="48"/>
        <v>0.90206185567010311</v>
      </c>
      <c r="BK16" s="11">
        <f t="shared" si="48"/>
        <v>0.88794326241134747</v>
      </c>
      <c r="BL16" s="11">
        <f t="shared" si="48"/>
        <v>0.96296296296296302</v>
      </c>
      <c r="BM16" s="11">
        <f t="shared" si="48"/>
        <v>0.90322580645161288</v>
      </c>
      <c r="BN16" s="11">
        <f t="shared" si="48"/>
        <v>0.88461538461538458</v>
      </c>
      <c r="BO16" s="11">
        <f t="shared" si="48"/>
        <v>1</v>
      </c>
      <c r="BP16" s="11">
        <f t="shared" si="48"/>
        <v>0.92105263157894735</v>
      </c>
      <c r="BQ16" s="11">
        <f t="shared" si="48"/>
        <v>0.93548387096774199</v>
      </c>
      <c r="BR16" s="11">
        <f t="shared" si="48"/>
        <v>0.95833333333333337</v>
      </c>
      <c r="BS16" s="11">
        <f t="shared" si="48"/>
        <v>0.72727272727272729</v>
      </c>
      <c r="BT16" s="11">
        <f t="shared" si="48"/>
        <v>0.88235294117647056</v>
      </c>
      <c r="BU16" s="11">
        <f t="shared" si="48"/>
        <v>0.86206896551724133</v>
      </c>
      <c r="BV16" s="11">
        <f t="shared" si="48"/>
        <v>0.93181818181818188</v>
      </c>
      <c r="BW16" s="11">
        <f t="shared" si="48"/>
        <v>0.89436619718309862</v>
      </c>
      <c r="BX16" s="11">
        <f t="shared" si="48"/>
        <v>0.90243902439024393</v>
      </c>
      <c r="BY16" s="11">
        <f t="shared" si="48"/>
        <v>0.91176470588235292</v>
      </c>
      <c r="BZ16" s="11">
        <f t="shared" si="48"/>
        <v>0.92682926829268297</v>
      </c>
      <c r="CA16" s="11">
        <f t="shared" si="48"/>
        <v>0.87234042553191493</v>
      </c>
      <c r="CB16" s="11">
        <f t="shared" si="48"/>
        <v>0.95348837209302328</v>
      </c>
      <c r="CC16" s="11">
        <f t="shared" si="48"/>
        <v>0.91262135922330101</v>
      </c>
      <c r="CD16" s="11" t="e">
        <f t="shared" si="48"/>
        <v>#DIV/0!</v>
      </c>
      <c r="CE16" s="11" t="e">
        <f t="shared" si="48"/>
        <v>#DIV/0!</v>
      </c>
      <c r="CF16" s="11" t="e">
        <f t="shared" si="48"/>
        <v>#DIV/0!</v>
      </c>
      <c r="CG16" s="11" t="e">
        <f t="shared" si="48"/>
        <v>#DIV/0!</v>
      </c>
      <c r="CH16" s="11" t="e">
        <f t="shared" si="48"/>
        <v>#DIV/0!</v>
      </c>
      <c r="CI16" s="11" t="e">
        <f t="shared" si="48"/>
        <v>#DIV/0!</v>
      </c>
      <c r="CJ16" s="11">
        <f t="shared" si="48"/>
        <v>0.91451292246520877</v>
      </c>
      <c r="CK16" s="11" t="e">
        <f t="shared" si="48"/>
        <v>#DIV/0!</v>
      </c>
      <c r="CL16" s="11" t="e">
        <f t="shared" si="48"/>
        <v>#DIV/0!</v>
      </c>
      <c r="CM16" s="11" t="e">
        <f t="shared" si="48"/>
        <v>#DIV/0!</v>
      </c>
      <c r="CN16" s="11" t="e">
        <f t="shared" si="48"/>
        <v>#DIV/0!</v>
      </c>
      <c r="CO16" s="11" t="e">
        <f t="shared" si="48"/>
        <v>#DIV/0!</v>
      </c>
      <c r="CP16" s="11" t="e">
        <f t="shared" si="48"/>
        <v>#DIV/0!</v>
      </c>
      <c r="CQ16" s="11" t="e">
        <f t="shared" si="48"/>
        <v>#DIV/0!</v>
      </c>
      <c r="CR16" s="11" t="e">
        <f t="shared" si="48"/>
        <v>#DIV/0!</v>
      </c>
      <c r="CS16" s="11" t="e">
        <f t="shared" si="48"/>
        <v>#DIV/0!</v>
      </c>
      <c r="CT16" s="11" t="e">
        <f t="shared" si="48"/>
        <v>#DIV/0!</v>
      </c>
      <c r="CU16" s="11" t="e">
        <f t="shared" si="48"/>
        <v>#DIV/0!</v>
      </c>
      <c r="CV16" s="11" t="e">
        <f t="shared" si="48"/>
        <v>#DIV/0!</v>
      </c>
      <c r="CW16" s="11" t="e">
        <f t="shared" si="48"/>
        <v>#DIV/0!</v>
      </c>
      <c r="CX16" s="11" t="e">
        <f t="shared" si="48"/>
        <v>#DIV/0!</v>
      </c>
      <c r="CY16" s="11" t="e">
        <f t="shared" ref="CY16:FJ16" si="49">1-CY13</f>
        <v>#DIV/0!</v>
      </c>
      <c r="CZ16" s="11" t="e">
        <f t="shared" si="49"/>
        <v>#DIV/0!</v>
      </c>
      <c r="DA16" s="11" t="e">
        <f t="shared" si="49"/>
        <v>#DIV/0!</v>
      </c>
      <c r="DB16" s="11" t="e">
        <f t="shared" si="49"/>
        <v>#DIV/0!</v>
      </c>
      <c r="DC16" s="11" t="e">
        <f t="shared" si="49"/>
        <v>#DIV/0!</v>
      </c>
      <c r="DD16" s="11" t="e">
        <f t="shared" si="49"/>
        <v>#DIV/0!</v>
      </c>
      <c r="DE16" s="11" t="e">
        <f t="shared" si="49"/>
        <v>#DIV/0!</v>
      </c>
      <c r="DF16" s="11" t="e">
        <f t="shared" si="49"/>
        <v>#DIV/0!</v>
      </c>
      <c r="DG16" s="11" t="e">
        <f t="shared" si="49"/>
        <v>#DIV/0!</v>
      </c>
      <c r="DH16" s="11" t="e">
        <f t="shared" si="49"/>
        <v>#DIV/0!</v>
      </c>
      <c r="DI16" s="11" t="e">
        <f t="shared" si="49"/>
        <v>#DIV/0!</v>
      </c>
      <c r="DJ16" s="11" t="e">
        <f t="shared" si="49"/>
        <v>#DIV/0!</v>
      </c>
      <c r="DK16" s="11" t="e">
        <f t="shared" si="49"/>
        <v>#DIV/0!</v>
      </c>
      <c r="DL16" s="11" t="e">
        <f t="shared" si="49"/>
        <v>#DIV/0!</v>
      </c>
      <c r="DM16" s="11" t="e">
        <f t="shared" si="49"/>
        <v>#DIV/0!</v>
      </c>
      <c r="DN16" s="11" t="e">
        <f t="shared" si="49"/>
        <v>#DIV/0!</v>
      </c>
      <c r="DO16" s="11" t="e">
        <f t="shared" si="49"/>
        <v>#DIV/0!</v>
      </c>
      <c r="DP16" s="11" t="e">
        <f t="shared" si="49"/>
        <v>#DIV/0!</v>
      </c>
      <c r="DQ16" s="11" t="e">
        <f t="shared" si="49"/>
        <v>#DIV/0!</v>
      </c>
      <c r="DR16" s="11" t="e">
        <f t="shared" si="49"/>
        <v>#DIV/0!</v>
      </c>
      <c r="DS16" s="11" t="e">
        <f t="shared" si="49"/>
        <v>#DIV/0!</v>
      </c>
      <c r="DT16" s="11" t="e">
        <f t="shared" si="49"/>
        <v>#DIV/0!</v>
      </c>
      <c r="DU16" s="11" t="e">
        <f t="shared" si="49"/>
        <v>#DIV/0!</v>
      </c>
      <c r="DV16" s="11" t="e">
        <f t="shared" si="49"/>
        <v>#DIV/0!</v>
      </c>
      <c r="DW16" s="11" t="e">
        <f t="shared" si="49"/>
        <v>#DIV/0!</v>
      </c>
      <c r="DX16" s="11" t="e">
        <f t="shared" si="49"/>
        <v>#DIV/0!</v>
      </c>
      <c r="DY16" s="11" t="e">
        <f t="shared" si="49"/>
        <v>#DIV/0!</v>
      </c>
      <c r="DZ16" s="11" t="e">
        <f t="shared" si="49"/>
        <v>#DIV/0!</v>
      </c>
      <c r="EA16" s="11" t="e">
        <f t="shared" si="49"/>
        <v>#DIV/0!</v>
      </c>
      <c r="EB16" s="11" t="e">
        <f t="shared" si="49"/>
        <v>#DIV/0!</v>
      </c>
      <c r="EC16" s="11" t="e">
        <f t="shared" si="49"/>
        <v>#DIV/0!</v>
      </c>
      <c r="ED16" s="11" t="e">
        <f t="shared" si="49"/>
        <v>#DIV/0!</v>
      </c>
      <c r="EE16" s="11" t="e">
        <f t="shared" si="49"/>
        <v>#DIV/0!</v>
      </c>
      <c r="EF16" s="11" t="e">
        <f t="shared" si="49"/>
        <v>#DIV/0!</v>
      </c>
      <c r="EG16" s="11" t="e">
        <f t="shared" si="49"/>
        <v>#DIV/0!</v>
      </c>
      <c r="EH16" s="11" t="e">
        <f t="shared" si="49"/>
        <v>#DIV/0!</v>
      </c>
      <c r="EI16" s="11" t="e">
        <f t="shared" si="49"/>
        <v>#DIV/0!</v>
      </c>
      <c r="EJ16" s="11" t="e">
        <f t="shared" si="49"/>
        <v>#DIV/0!</v>
      </c>
      <c r="EK16" s="11" t="e">
        <f t="shared" si="49"/>
        <v>#DIV/0!</v>
      </c>
      <c r="EL16" s="11" t="e">
        <f t="shared" si="49"/>
        <v>#DIV/0!</v>
      </c>
      <c r="EM16" s="11" t="e">
        <f t="shared" si="49"/>
        <v>#DIV/0!</v>
      </c>
      <c r="EN16" s="11" t="e">
        <f t="shared" si="49"/>
        <v>#DIV/0!</v>
      </c>
      <c r="EO16" s="11" t="e">
        <f t="shared" si="49"/>
        <v>#DIV/0!</v>
      </c>
      <c r="EP16" s="11" t="e">
        <f t="shared" si="49"/>
        <v>#DIV/0!</v>
      </c>
      <c r="EQ16" s="11" t="e">
        <f t="shared" si="49"/>
        <v>#DIV/0!</v>
      </c>
      <c r="ER16" s="11" t="e">
        <f t="shared" si="49"/>
        <v>#DIV/0!</v>
      </c>
      <c r="ES16" s="11" t="e">
        <f t="shared" si="49"/>
        <v>#DIV/0!</v>
      </c>
      <c r="ET16" s="11" t="e">
        <f t="shared" si="49"/>
        <v>#DIV/0!</v>
      </c>
      <c r="EU16" s="11" t="e">
        <f t="shared" si="49"/>
        <v>#DIV/0!</v>
      </c>
      <c r="EV16" s="11" t="e">
        <f t="shared" si="49"/>
        <v>#DIV/0!</v>
      </c>
      <c r="EW16" s="11" t="e">
        <f t="shared" si="49"/>
        <v>#DIV/0!</v>
      </c>
      <c r="EX16" s="11" t="e">
        <f t="shared" si="49"/>
        <v>#DIV/0!</v>
      </c>
      <c r="EY16" s="11" t="e">
        <f t="shared" si="49"/>
        <v>#DIV/0!</v>
      </c>
      <c r="EZ16" s="11" t="e">
        <f t="shared" si="49"/>
        <v>#DIV/0!</v>
      </c>
      <c r="FA16" s="11" t="e">
        <f t="shared" si="49"/>
        <v>#DIV/0!</v>
      </c>
      <c r="FB16" s="11" t="e">
        <f t="shared" si="49"/>
        <v>#DIV/0!</v>
      </c>
      <c r="FC16" s="11" t="e">
        <f t="shared" si="49"/>
        <v>#DIV/0!</v>
      </c>
      <c r="FD16" s="11" t="e">
        <f t="shared" si="49"/>
        <v>#DIV/0!</v>
      </c>
      <c r="FE16" s="11" t="e">
        <f t="shared" si="49"/>
        <v>#DIV/0!</v>
      </c>
      <c r="FF16" s="11" t="e">
        <f t="shared" si="49"/>
        <v>#DIV/0!</v>
      </c>
      <c r="FG16" s="11" t="e">
        <f t="shared" si="49"/>
        <v>#DIV/0!</v>
      </c>
      <c r="FH16" s="11" t="e">
        <f t="shared" si="49"/>
        <v>#DIV/0!</v>
      </c>
      <c r="FI16" s="11" t="e">
        <f t="shared" si="49"/>
        <v>#DIV/0!</v>
      </c>
      <c r="FJ16" s="11" t="e">
        <f t="shared" si="49"/>
        <v>#DIV/0!</v>
      </c>
      <c r="FK16" s="11" t="e">
        <f t="shared" ref="FK16:HV16" si="50">1-FK13</f>
        <v>#DIV/0!</v>
      </c>
      <c r="FL16" s="11" t="e">
        <f t="shared" si="50"/>
        <v>#DIV/0!</v>
      </c>
      <c r="FM16" s="11" t="e">
        <f t="shared" si="50"/>
        <v>#DIV/0!</v>
      </c>
      <c r="FN16" s="11" t="e">
        <f t="shared" si="50"/>
        <v>#DIV/0!</v>
      </c>
      <c r="FO16" s="11" t="e">
        <f t="shared" si="50"/>
        <v>#DIV/0!</v>
      </c>
      <c r="FP16" s="11" t="e">
        <f t="shared" si="50"/>
        <v>#DIV/0!</v>
      </c>
      <c r="FQ16" s="11" t="e">
        <f t="shared" si="50"/>
        <v>#DIV/0!</v>
      </c>
      <c r="FR16" s="11" t="e">
        <f t="shared" si="50"/>
        <v>#DIV/0!</v>
      </c>
      <c r="FS16" s="11" t="e">
        <f t="shared" si="50"/>
        <v>#DIV/0!</v>
      </c>
      <c r="FT16" s="11" t="e">
        <f t="shared" si="50"/>
        <v>#DIV/0!</v>
      </c>
      <c r="FU16" s="11" t="e">
        <f t="shared" si="50"/>
        <v>#DIV/0!</v>
      </c>
      <c r="FV16" s="11" t="e">
        <f t="shared" si="50"/>
        <v>#DIV/0!</v>
      </c>
      <c r="FW16" s="11" t="e">
        <f t="shared" si="50"/>
        <v>#DIV/0!</v>
      </c>
      <c r="FX16" s="11" t="e">
        <f t="shared" si="50"/>
        <v>#DIV/0!</v>
      </c>
      <c r="FY16" s="11" t="e">
        <f t="shared" si="50"/>
        <v>#DIV/0!</v>
      </c>
      <c r="FZ16" s="11" t="e">
        <f t="shared" si="50"/>
        <v>#DIV/0!</v>
      </c>
      <c r="GA16" s="11" t="e">
        <f t="shared" si="50"/>
        <v>#DIV/0!</v>
      </c>
      <c r="GB16" s="11" t="e">
        <f t="shared" si="50"/>
        <v>#DIV/0!</v>
      </c>
      <c r="GC16" s="11" t="e">
        <f t="shared" si="50"/>
        <v>#DIV/0!</v>
      </c>
      <c r="GD16" s="11" t="e">
        <f t="shared" si="50"/>
        <v>#DIV/0!</v>
      </c>
      <c r="GE16" s="11" t="e">
        <f t="shared" si="50"/>
        <v>#DIV/0!</v>
      </c>
      <c r="GF16" s="11" t="e">
        <f t="shared" si="50"/>
        <v>#DIV/0!</v>
      </c>
      <c r="GG16" s="11" t="e">
        <f t="shared" si="50"/>
        <v>#DIV/0!</v>
      </c>
      <c r="GH16" s="11" t="e">
        <f t="shared" si="50"/>
        <v>#DIV/0!</v>
      </c>
      <c r="GI16" s="11" t="e">
        <f t="shared" si="50"/>
        <v>#DIV/0!</v>
      </c>
      <c r="GJ16" s="11" t="e">
        <f t="shared" si="50"/>
        <v>#DIV/0!</v>
      </c>
      <c r="GK16" s="11" t="e">
        <f t="shared" si="50"/>
        <v>#DIV/0!</v>
      </c>
      <c r="GL16" s="11" t="e">
        <f t="shared" si="50"/>
        <v>#DIV/0!</v>
      </c>
      <c r="GM16" s="11" t="e">
        <f t="shared" si="50"/>
        <v>#DIV/0!</v>
      </c>
      <c r="GN16" s="11" t="e">
        <f t="shared" si="50"/>
        <v>#DIV/0!</v>
      </c>
      <c r="GO16" s="11" t="e">
        <f t="shared" si="50"/>
        <v>#DIV/0!</v>
      </c>
      <c r="GP16" s="11" t="e">
        <f t="shared" si="50"/>
        <v>#DIV/0!</v>
      </c>
      <c r="GQ16" s="11" t="e">
        <f t="shared" si="50"/>
        <v>#DIV/0!</v>
      </c>
      <c r="GR16" s="11" t="e">
        <f t="shared" si="50"/>
        <v>#DIV/0!</v>
      </c>
      <c r="GS16" s="11" t="e">
        <f t="shared" si="50"/>
        <v>#DIV/0!</v>
      </c>
      <c r="GT16" s="11" t="e">
        <f t="shared" si="50"/>
        <v>#DIV/0!</v>
      </c>
      <c r="GU16" s="11" t="e">
        <f t="shared" si="50"/>
        <v>#DIV/0!</v>
      </c>
      <c r="GV16" s="11" t="e">
        <f t="shared" si="50"/>
        <v>#DIV/0!</v>
      </c>
      <c r="GW16" s="11" t="e">
        <f t="shared" si="50"/>
        <v>#DIV/0!</v>
      </c>
      <c r="GX16" s="11" t="e">
        <f t="shared" si="50"/>
        <v>#DIV/0!</v>
      </c>
      <c r="GY16" s="11" t="e">
        <f t="shared" si="50"/>
        <v>#DIV/0!</v>
      </c>
      <c r="GZ16" s="11" t="e">
        <f t="shared" si="50"/>
        <v>#DIV/0!</v>
      </c>
      <c r="HA16" s="11" t="e">
        <f t="shared" si="50"/>
        <v>#DIV/0!</v>
      </c>
      <c r="HB16" s="11" t="e">
        <f t="shared" si="50"/>
        <v>#DIV/0!</v>
      </c>
      <c r="HC16" s="11" t="e">
        <f t="shared" si="50"/>
        <v>#DIV/0!</v>
      </c>
      <c r="HD16" s="11" t="e">
        <f t="shared" si="50"/>
        <v>#DIV/0!</v>
      </c>
      <c r="HE16" s="11" t="e">
        <f t="shared" si="50"/>
        <v>#DIV/0!</v>
      </c>
      <c r="HF16" s="11" t="e">
        <f t="shared" si="50"/>
        <v>#DIV/0!</v>
      </c>
      <c r="HG16" s="11" t="e">
        <f t="shared" si="50"/>
        <v>#DIV/0!</v>
      </c>
      <c r="HH16" s="11" t="e">
        <f t="shared" si="50"/>
        <v>#DIV/0!</v>
      </c>
      <c r="HI16" s="11" t="e">
        <f t="shared" si="50"/>
        <v>#DIV/0!</v>
      </c>
      <c r="HJ16" s="11" t="e">
        <f t="shared" si="50"/>
        <v>#DIV/0!</v>
      </c>
      <c r="HK16" s="11" t="e">
        <f t="shared" si="50"/>
        <v>#DIV/0!</v>
      </c>
      <c r="HL16" s="11" t="e">
        <f t="shared" si="50"/>
        <v>#DIV/0!</v>
      </c>
      <c r="HM16" s="11" t="e">
        <f t="shared" si="50"/>
        <v>#DIV/0!</v>
      </c>
      <c r="HN16" s="11" t="e">
        <f t="shared" si="50"/>
        <v>#DIV/0!</v>
      </c>
      <c r="HO16" s="11" t="e">
        <f t="shared" si="50"/>
        <v>#DIV/0!</v>
      </c>
      <c r="HP16" s="11" t="e">
        <f t="shared" si="50"/>
        <v>#DIV/0!</v>
      </c>
      <c r="HQ16" s="11" t="e">
        <f t="shared" si="50"/>
        <v>#DIV/0!</v>
      </c>
      <c r="HR16" s="11" t="e">
        <f t="shared" si="50"/>
        <v>#DIV/0!</v>
      </c>
      <c r="HS16" s="11" t="e">
        <f t="shared" si="50"/>
        <v>#DIV/0!</v>
      </c>
      <c r="HT16" s="11" t="e">
        <f t="shared" si="50"/>
        <v>#DIV/0!</v>
      </c>
      <c r="HU16" s="11" t="e">
        <f t="shared" si="50"/>
        <v>#DIV/0!</v>
      </c>
      <c r="HV16" s="11" t="e">
        <f t="shared" si="50"/>
        <v>#DIV/0!</v>
      </c>
      <c r="HW16" s="11" t="e">
        <f t="shared" ref="HW16:KH16" si="51">1-HW13</f>
        <v>#DIV/0!</v>
      </c>
      <c r="HX16" s="11" t="e">
        <f t="shared" si="51"/>
        <v>#DIV/0!</v>
      </c>
      <c r="HY16" s="11" t="e">
        <f t="shared" si="51"/>
        <v>#DIV/0!</v>
      </c>
      <c r="HZ16" s="11" t="e">
        <f t="shared" si="51"/>
        <v>#DIV/0!</v>
      </c>
      <c r="IA16" s="11" t="e">
        <f t="shared" si="51"/>
        <v>#DIV/0!</v>
      </c>
      <c r="IB16" s="11" t="e">
        <f t="shared" si="51"/>
        <v>#DIV/0!</v>
      </c>
      <c r="IC16" s="11" t="e">
        <f t="shared" si="51"/>
        <v>#DIV/0!</v>
      </c>
      <c r="ID16" s="11" t="e">
        <f t="shared" si="51"/>
        <v>#DIV/0!</v>
      </c>
      <c r="IE16" s="11" t="e">
        <f t="shared" si="51"/>
        <v>#DIV/0!</v>
      </c>
      <c r="IF16" s="11" t="e">
        <f t="shared" si="51"/>
        <v>#DIV/0!</v>
      </c>
      <c r="IG16" s="11" t="e">
        <f t="shared" si="51"/>
        <v>#DIV/0!</v>
      </c>
      <c r="IH16" s="11" t="e">
        <f t="shared" si="51"/>
        <v>#DIV/0!</v>
      </c>
      <c r="II16" s="11" t="e">
        <f t="shared" si="51"/>
        <v>#DIV/0!</v>
      </c>
      <c r="IJ16" s="11" t="e">
        <f t="shared" si="51"/>
        <v>#DIV/0!</v>
      </c>
      <c r="IK16" s="11" t="e">
        <f t="shared" si="51"/>
        <v>#DIV/0!</v>
      </c>
      <c r="IL16" s="11" t="e">
        <f t="shared" si="51"/>
        <v>#DIV/0!</v>
      </c>
      <c r="IM16" s="11" t="e">
        <f t="shared" si="51"/>
        <v>#DIV/0!</v>
      </c>
      <c r="IN16" s="11" t="e">
        <f t="shared" si="51"/>
        <v>#DIV/0!</v>
      </c>
      <c r="IO16" s="11" t="e">
        <f t="shared" si="51"/>
        <v>#DIV/0!</v>
      </c>
      <c r="IP16" s="11" t="e">
        <f t="shared" si="51"/>
        <v>#DIV/0!</v>
      </c>
      <c r="IQ16" s="11" t="e">
        <f t="shared" si="51"/>
        <v>#DIV/0!</v>
      </c>
      <c r="IR16" s="11" t="e">
        <f t="shared" si="51"/>
        <v>#DIV/0!</v>
      </c>
      <c r="IS16" s="11" t="e">
        <f t="shared" si="51"/>
        <v>#DIV/0!</v>
      </c>
      <c r="IT16" s="11" t="e">
        <f t="shared" si="51"/>
        <v>#DIV/0!</v>
      </c>
      <c r="IU16" s="11" t="e">
        <f t="shared" si="51"/>
        <v>#DIV/0!</v>
      </c>
      <c r="IV16" s="11" t="e">
        <f t="shared" si="51"/>
        <v>#DIV/0!</v>
      </c>
      <c r="IW16" s="11" t="e">
        <f t="shared" si="51"/>
        <v>#DIV/0!</v>
      </c>
      <c r="IX16" s="11" t="e">
        <f t="shared" si="51"/>
        <v>#DIV/0!</v>
      </c>
      <c r="IY16" s="11" t="e">
        <f t="shared" si="51"/>
        <v>#DIV/0!</v>
      </c>
      <c r="IZ16" s="11" t="e">
        <f t="shared" si="51"/>
        <v>#DIV/0!</v>
      </c>
      <c r="JA16" s="11" t="e">
        <f t="shared" si="51"/>
        <v>#DIV/0!</v>
      </c>
      <c r="JB16" s="11" t="e">
        <f t="shared" si="51"/>
        <v>#DIV/0!</v>
      </c>
      <c r="JC16" s="11" t="e">
        <f t="shared" si="51"/>
        <v>#DIV/0!</v>
      </c>
      <c r="JD16" s="11" t="e">
        <f t="shared" si="51"/>
        <v>#DIV/0!</v>
      </c>
      <c r="JE16" s="11" t="e">
        <f t="shared" si="51"/>
        <v>#DIV/0!</v>
      </c>
      <c r="JF16" s="11" t="e">
        <f t="shared" si="51"/>
        <v>#DIV/0!</v>
      </c>
      <c r="JG16" s="11" t="e">
        <f t="shared" si="51"/>
        <v>#DIV/0!</v>
      </c>
      <c r="JH16" s="11" t="e">
        <f t="shared" si="51"/>
        <v>#DIV/0!</v>
      </c>
      <c r="JI16" s="11" t="e">
        <f t="shared" si="51"/>
        <v>#DIV/0!</v>
      </c>
      <c r="JJ16" s="11" t="e">
        <f t="shared" si="51"/>
        <v>#DIV/0!</v>
      </c>
      <c r="JK16" s="11" t="e">
        <f t="shared" si="51"/>
        <v>#DIV/0!</v>
      </c>
      <c r="JL16" s="11" t="e">
        <f t="shared" si="51"/>
        <v>#DIV/0!</v>
      </c>
      <c r="JM16" s="11" t="e">
        <f t="shared" si="51"/>
        <v>#DIV/0!</v>
      </c>
      <c r="JN16" s="11" t="e">
        <f t="shared" si="51"/>
        <v>#DIV/0!</v>
      </c>
      <c r="JO16" s="11" t="e">
        <f t="shared" si="51"/>
        <v>#DIV/0!</v>
      </c>
      <c r="JP16" s="11" t="e">
        <f t="shared" si="51"/>
        <v>#DIV/0!</v>
      </c>
      <c r="JQ16" s="11" t="e">
        <f t="shared" si="51"/>
        <v>#DIV/0!</v>
      </c>
      <c r="JR16" s="11" t="e">
        <f t="shared" si="51"/>
        <v>#DIV/0!</v>
      </c>
      <c r="JS16" s="11" t="e">
        <f t="shared" si="51"/>
        <v>#DIV/0!</v>
      </c>
      <c r="JT16" s="11" t="e">
        <f t="shared" si="51"/>
        <v>#DIV/0!</v>
      </c>
      <c r="JU16" s="11" t="e">
        <f t="shared" si="51"/>
        <v>#DIV/0!</v>
      </c>
      <c r="JV16" s="11" t="e">
        <f t="shared" si="51"/>
        <v>#DIV/0!</v>
      </c>
      <c r="JW16" s="11" t="e">
        <f t="shared" si="51"/>
        <v>#DIV/0!</v>
      </c>
      <c r="JX16" s="11" t="e">
        <f t="shared" si="51"/>
        <v>#DIV/0!</v>
      </c>
      <c r="JY16" s="11" t="e">
        <f t="shared" si="51"/>
        <v>#DIV/0!</v>
      </c>
      <c r="JZ16" s="11" t="e">
        <f t="shared" si="51"/>
        <v>#DIV/0!</v>
      </c>
      <c r="KA16" s="11" t="e">
        <f t="shared" si="51"/>
        <v>#DIV/0!</v>
      </c>
      <c r="KB16" s="11" t="e">
        <f t="shared" si="51"/>
        <v>#DIV/0!</v>
      </c>
      <c r="KC16" s="11" t="e">
        <f t="shared" si="51"/>
        <v>#DIV/0!</v>
      </c>
      <c r="KD16" s="11" t="e">
        <f t="shared" si="51"/>
        <v>#DIV/0!</v>
      </c>
      <c r="KE16" s="11" t="e">
        <f t="shared" si="51"/>
        <v>#DIV/0!</v>
      </c>
      <c r="KF16" s="11" t="e">
        <f t="shared" si="51"/>
        <v>#DIV/0!</v>
      </c>
      <c r="KG16" s="11" t="e">
        <f t="shared" si="51"/>
        <v>#DIV/0!</v>
      </c>
      <c r="KH16" s="11" t="e">
        <f t="shared" si="51"/>
        <v>#DIV/0!</v>
      </c>
      <c r="KI16" s="11" t="e">
        <f t="shared" ref="KI16:MT16" si="52">1-KI13</f>
        <v>#DIV/0!</v>
      </c>
      <c r="KJ16" s="11" t="e">
        <f t="shared" si="52"/>
        <v>#DIV/0!</v>
      </c>
      <c r="KK16" s="11" t="e">
        <f t="shared" si="52"/>
        <v>#DIV/0!</v>
      </c>
      <c r="KL16" s="11" t="e">
        <f t="shared" si="52"/>
        <v>#DIV/0!</v>
      </c>
      <c r="KM16" s="11" t="e">
        <f t="shared" si="52"/>
        <v>#DIV/0!</v>
      </c>
      <c r="KN16" s="11" t="e">
        <f t="shared" si="52"/>
        <v>#DIV/0!</v>
      </c>
      <c r="KO16" s="11" t="e">
        <f t="shared" si="52"/>
        <v>#DIV/0!</v>
      </c>
      <c r="KP16" s="11" t="e">
        <f t="shared" si="52"/>
        <v>#DIV/0!</v>
      </c>
      <c r="KQ16" s="11" t="e">
        <f t="shared" si="52"/>
        <v>#DIV/0!</v>
      </c>
      <c r="KR16" s="11" t="e">
        <f t="shared" si="52"/>
        <v>#DIV/0!</v>
      </c>
      <c r="KS16" s="11" t="e">
        <f t="shared" si="52"/>
        <v>#DIV/0!</v>
      </c>
      <c r="KT16" s="11" t="e">
        <f t="shared" si="52"/>
        <v>#DIV/0!</v>
      </c>
      <c r="KU16" s="11" t="e">
        <f t="shared" si="52"/>
        <v>#DIV/0!</v>
      </c>
      <c r="KV16" s="11" t="e">
        <f t="shared" si="52"/>
        <v>#DIV/0!</v>
      </c>
      <c r="KW16" s="11" t="e">
        <f t="shared" si="52"/>
        <v>#DIV/0!</v>
      </c>
      <c r="KX16" s="11" t="e">
        <f t="shared" si="52"/>
        <v>#DIV/0!</v>
      </c>
      <c r="KY16" s="11" t="e">
        <f t="shared" si="52"/>
        <v>#DIV/0!</v>
      </c>
      <c r="KZ16" s="11" t="e">
        <f t="shared" si="52"/>
        <v>#DIV/0!</v>
      </c>
      <c r="LA16" s="11" t="e">
        <f t="shared" si="52"/>
        <v>#DIV/0!</v>
      </c>
      <c r="LB16" s="11" t="e">
        <f t="shared" si="52"/>
        <v>#DIV/0!</v>
      </c>
      <c r="LC16" s="11" t="e">
        <f t="shared" si="52"/>
        <v>#DIV/0!</v>
      </c>
      <c r="LD16" s="11" t="e">
        <f t="shared" si="52"/>
        <v>#DIV/0!</v>
      </c>
      <c r="LE16" s="11" t="e">
        <f t="shared" si="52"/>
        <v>#DIV/0!</v>
      </c>
      <c r="LF16" s="11" t="e">
        <f t="shared" si="52"/>
        <v>#DIV/0!</v>
      </c>
      <c r="LG16" s="11" t="e">
        <f t="shared" si="52"/>
        <v>#DIV/0!</v>
      </c>
      <c r="LH16" s="11" t="e">
        <f t="shared" si="52"/>
        <v>#DIV/0!</v>
      </c>
      <c r="LI16" s="11" t="e">
        <f t="shared" si="52"/>
        <v>#DIV/0!</v>
      </c>
      <c r="LJ16" s="11" t="e">
        <f t="shared" si="52"/>
        <v>#DIV/0!</v>
      </c>
      <c r="LK16" s="11" t="e">
        <f t="shared" si="52"/>
        <v>#DIV/0!</v>
      </c>
      <c r="LL16" s="11" t="e">
        <f t="shared" si="52"/>
        <v>#DIV/0!</v>
      </c>
      <c r="LM16" s="11" t="e">
        <f t="shared" si="52"/>
        <v>#DIV/0!</v>
      </c>
      <c r="LN16" s="11" t="e">
        <f t="shared" si="52"/>
        <v>#DIV/0!</v>
      </c>
      <c r="LO16" s="11" t="e">
        <f t="shared" si="52"/>
        <v>#DIV/0!</v>
      </c>
      <c r="LP16" s="11" t="e">
        <f t="shared" si="52"/>
        <v>#DIV/0!</v>
      </c>
      <c r="LQ16" s="11" t="e">
        <f t="shared" si="52"/>
        <v>#DIV/0!</v>
      </c>
      <c r="LR16" s="11" t="e">
        <f t="shared" si="52"/>
        <v>#DIV/0!</v>
      </c>
      <c r="LS16" s="11" t="e">
        <f t="shared" si="52"/>
        <v>#DIV/0!</v>
      </c>
      <c r="LT16" s="11" t="e">
        <f t="shared" si="52"/>
        <v>#DIV/0!</v>
      </c>
      <c r="LU16" s="11" t="e">
        <f t="shared" si="52"/>
        <v>#DIV/0!</v>
      </c>
      <c r="LV16" s="11" t="e">
        <f t="shared" si="52"/>
        <v>#DIV/0!</v>
      </c>
      <c r="LW16" s="11" t="e">
        <f t="shared" si="52"/>
        <v>#DIV/0!</v>
      </c>
      <c r="LX16" s="11" t="e">
        <f t="shared" si="52"/>
        <v>#DIV/0!</v>
      </c>
      <c r="LY16" s="11" t="e">
        <f t="shared" si="52"/>
        <v>#DIV/0!</v>
      </c>
      <c r="LZ16" s="11" t="e">
        <f t="shared" si="52"/>
        <v>#DIV/0!</v>
      </c>
      <c r="MA16" s="11" t="e">
        <f t="shared" si="52"/>
        <v>#DIV/0!</v>
      </c>
      <c r="MB16" s="11" t="e">
        <f t="shared" si="52"/>
        <v>#DIV/0!</v>
      </c>
      <c r="MC16" s="11" t="e">
        <f t="shared" si="52"/>
        <v>#DIV/0!</v>
      </c>
      <c r="MD16" s="11" t="e">
        <f t="shared" si="52"/>
        <v>#DIV/0!</v>
      </c>
      <c r="ME16" s="11" t="e">
        <f t="shared" si="52"/>
        <v>#DIV/0!</v>
      </c>
      <c r="MF16" s="11" t="e">
        <f t="shared" si="52"/>
        <v>#DIV/0!</v>
      </c>
      <c r="MG16" s="11" t="e">
        <f t="shared" si="52"/>
        <v>#DIV/0!</v>
      </c>
      <c r="MH16" s="11" t="e">
        <f t="shared" si="52"/>
        <v>#DIV/0!</v>
      </c>
      <c r="MI16" s="11" t="e">
        <f t="shared" si="52"/>
        <v>#DIV/0!</v>
      </c>
      <c r="MJ16" s="11" t="e">
        <f t="shared" si="52"/>
        <v>#DIV/0!</v>
      </c>
      <c r="MK16" s="11" t="e">
        <f t="shared" si="52"/>
        <v>#DIV/0!</v>
      </c>
      <c r="ML16" s="11" t="e">
        <f t="shared" si="52"/>
        <v>#DIV/0!</v>
      </c>
      <c r="MM16" s="11" t="e">
        <f t="shared" si="52"/>
        <v>#DIV/0!</v>
      </c>
      <c r="MN16" s="11" t="e">
        <f t="shared" si="52"/>
        <v>#DIV/0!</v>
      </c>
      <c r="MO16" s="11" t="e">
        <f t="shared" si="52"/>
        <v>#DIV/0!</v>
      </c>
      <c r="MP16" s="11" t="e">
        <f t="shared" si="52"/>
        <v>#DIV/0!</v>
      </c>
      <c r="MQ16" s="11" t="e">
        <f t="shared" si="52"/>
        <v>#DIV/0!</v>
      </c>
      <c r="MR16" s="11" t="e">
        <f t="shared" si="52"/>
        <v>#DIV/0!</v>
      </c>
      <c r="MS16" s="11" t="e">
        <f t="shared" si="52"/>
        <v>#DIV/0!</v>
      </c>
      <c r="MT16" s="11" t="e">
        <f t="shared" si="52"/>
        <v>#DIV/0!</v>
      </c>
      <c r="MU16" s="11" t="e">
        <f t="shared" ref="MU16:ND16" si="53">1-MU13</f>
        <v>#DIV/0!</v>
      </c>
      <c r="MV16" s="11" t="e">
        <f t="shared" si="53"/>
        <v>#DIV/0!</v>
      </c>
      <c r="MW16" s="11" t="e">
        <f t="shared" si="53"/>
        <v>#DIV/0!</v>
      </c>
      <c r="MX16" s="11" t="e">
        <f t="shared" si="53"/>
        <v>#DIV/0!</v>
      </c>
      <c r="MY16" s="11" t="e">
        <f t="shared" si="53"/>
        <v>#DIV/0!</v>
      </c>
      <c r="MZ16" s="11" t="e">
        <f t="shared" si="53"/>
        <v>#DIV/0!</v>
      </c>
      <c r="NA16" s="11" t="e">
        <f t="shared" si="53"/>
        <v>#DIV/0!</v>
      </c>
      <c r="NB16" s="11" t="e">
        <f t="shared" si="53"/>
        <v>#DIV/0!</v>
      </c>
      <c r="NC16" s="11" t="e">
        <f t="shared" si="53"/>
        <v>#DIV/0!</v>
      </c>
      <c r="ND16" s="11">
        <f t="shared" si="53"/>
        <v>0.89900662251655628</v>
      </c>
    </row>
    <row r="17" spans="1:368" x14ac:dyDescent="0.3">
      <c r="A17" s="9">
        <v>46064</v>
      </c>
      <c r="B17" s="2">
        <v>29</v>
      </c>
      <c r="C17" s="2">
        <v>222</v>
      </c>
      <c r="D17" s="2">
        <v>5</v>
      </c>
      <c r="E17" s="2">
        <v>2</v>
      </c>
      <c r="F17" s="2">
        <v>5</v>
      </c>
      <c r="G17" s="2">
        <v>2</v>
      </c>
      <c r="H17" s="2">
        <v>256</v>
      </c>
      <c r="I17" s="2">
        <v>9</v>
      </c>
      <c r="N17"/>
      <c r="O17"/>
      <c r="P17"/>
      <c r="AL17" s="48" t="s">
        <v>689</v>
      </c>
      <c r="AM17" s="11">
        <f>1-AM14</f>
        <v>0.76470588235294112</v>
      </c>
      <c r="AN17" s="11">
        <f t="shared" ref="AN17:BQ17" si="54">1-AN15</f>
        <v>0.98986486486486491</v>
      </c>
      <c r="AO17" s="11">
        <f t="shared" si="54"/>
        <v>0.96954314720812185</v>
      </c>
      <c r="AP17" s="11">
        <f t="shared" si="54"/>
        <v>0.92500000000000004</v>
      </c>
      <c r="AQ17" s="11">
        <f t="shared" si="54"/>
        <v>0.95333333333333337</v>
      </c>
      <c r="AR17" s="11">
        <f t="shared" si="54"/>
        <v>0.96419437340153458</v>
      </c>
      <c r="AS17" s="11">
        <f t="shared" si="54"/>
        <v>0.96566523605150212</v>
      </c>
      <c r="AT17" s="11">
        <f t="shared" si="54"/>
        <v>0.95909090909090911</v>
      </c>
      <c r="AU17" s="11">
        <f t="shared" si="54"/>
        <v>0.95321637426900585</v>
      </c>
      <c r="AV17" s="11">
        <f t="shared" si="54"/>
        <v>0.96648044692737434</v>
      </c>
      <c r="AW17" s="11">
        <f t="shared" si="54"/>
        <v>0.92763157894736836</v>
      </c>
      <c r="AX17" s="11">
        <f t="shared" si="54"/>
        <v>0.95602094240837698</v>
      </c>
      <c r="AY17" s="11">
        <f t="shared" si="54"/>
        <v>0.96610169491525422</v>
      </c>
      <c r="AZ17" s="11">
        <f t="shared" si="54"/>
        <v>0.92307692307692313</v>
      </c>
      <c r="BA17" s="11">
        <f t="shared" si="54"/>
        <v>0.9726027397260274</v>
      </c>
      <c r="BB17" s="11">
        <f t="shared" si="54"/>
        <v>0.97222222222222221</v>
      </c>
      <c r="BC17" s="11">
        <f t="shared" si="54"/>
        <v>0.95512820512820518</v>
      </c>
      <c r="BD17" s="11">
        <f t="shared" si="54"/>
        <v>0.96533795493934138</v>
      </c>
      <c r="BE17" s="11">
        <f t="shared" si="54"/>
        <v>0.94859813084112155</v>
      </c>
      <c r="BF17" s="11">
        <f t="shared" si="54"/>
        <v>0.9513513513513514</v>
      </c>
      <c r="BG17" s="11">
        <f t="shared" si="54"/>
        <v>0.93902439024390238</v>
      </c>
      <c r="BH17" s="11">
        <f t="shared" si="54"/>
        <v>0.97402597402597402</v>
      </c>
      <c r="BI17" s="11">
        <f t="shared" si="54"/>
        <v>0.98412698412698418</v>
      </c>
      <c r="BJ17" s="11">
        <f t="shared" si="54"/>
        <v>0.95916114790286977</v>
      </c>
      <c r="BK17" s="11">
        <f t="shared" si="54"/>
        <v>0.96095264469675989</v>
      </c>
      <c r="BL17" s="11">
        <f t="shared" si="54"/>
        <v>0.98122065727699526</v>
      </c>
      <c r="BM17" s="11">
        <f t="shared" si="54"/>
        <v>0.97584541062801933</v>
      </c>
      <c r="BN17" s="11">
        <f t="shared" si="54"/>
        <v>0.95625000000000004</v>
      </c>
      <c r="BO17" s="11">
        <f t="shared" si="54"/>
        <v>0.96311475409836067</v>
      </c>
      <c r="BP17" s="11">
        <f t="shared" si="54"/>
        <v>0.953125</v>
      </c>
      <c r="BQ17" s="11">
        <f t="shared" si="54"/>
        <v>0.96743697478991597</v>
      </c>
      <c r="BR17" s="11">
        <f t="shared" ref="BR17:CY17" si="55">1-BR15</f>
        <v>0.93181818181818188</v>
      </c>
      <c r="BS17" s="11">
        <f t="shared" si="55"/>
        <v>0.94656488549618323</v>
      </c>
      <c r="BT17" s="11">
        <f t="shared" si="55"/>
        <v>0.97747747747747749</v>
      </c>
      <c r="BU17" s="11">
        <f t="shared" si="55"/>
        <v>0.97894736842105268</v>
      </c>
      <c r="BV17" s="11">
        <f t="shared" si="55"/>
        <v>0.97058823529411764</v>
      </c>
      <c r="BW17" s="11">
        <f t="shared" si="55"/>
        <v>0.96424167694204688</v>
      </c>
      <c r="BX17" s="11">
        <f t="shared" si="55"/>
        <v>0.96713615023474175</v>
      </c>
      <c r="BY17" s="11">
        <f t="shared" si="55"/>
        <v>0.94711538461538458</v>
      </c>
      <c r="BZ17" s="11">
        <f t="shared" si="55"/>
        <v>0.95081967213114749</v>
      </c>
      <c r="CA17" s="11">
        <f t="shared" si="55"/>
        <v>0.97461928934010156</v>
      </c>
      <c r="CB17" s="11">
        <f t="shared" si="55"/>
        <v>0.94797687861271673</v>
      </c>
      <c r="CC17" s="11">
        <f t="shared" si="55"/>
        <v>0.9579055441478439</v>
      </c>
      <c r="CD17" s="11" t="e">
        <f t="shared" si="55"/>
        <v>#DIV/0!</v>
      </c>
      <c r="CE17" s="11" t="e">
        <f t="shared" si="55"/>
        <v>#DIV/0!</v>
      </c>
      <c r="CF17" s="11" t="e">
        <f t="shared" si="55"/>
        <v>#DIV/0!</v>
      </c>
      <c r="CG17" s="11" t="e">
        <f t="shared" si="55"/>
        <v>#DIV/0!</v>
      </c>
      <c r="CH17" s="11" t="e">
        <f t="shared" si="55"/>
        <v>#DIV/0!</v>
      </c>
      <c r="CI17" s="11" t="e">
        <f t="shared" si="55"/>
        <v>#DIV/0!</v>
      </c>
      <c r="CJ17" s="11">
        <f t="shared" si="55"/>
        <v>0.96309828279137744</v>
      </c>
      <c r="CK17" s="11" t="e">
        <f t="shared" si="55"/>
        <v>#DIV/0!</v>
      </c>
      <c r="CL17" s="11" t="e">
        <f t="shared" si="55"/>
        <v>#DIV/0!</v>
      </c>
      <c r="CM17" s="11" t="e">
        <f t="shared" si="55"/>
        <v>#DIV/0!</v>
      </c>
      <c r="CN17" s="11" t="e">
        <f t="shared" si="55"/>
        <v>#DIV/0!</v>
      </c>
      <c r="CO17" s="11" t="e">
        <f t="shared" si="55"/>
        <v>#DIV/0!</v>
      </c>
      <c r="CP17" s="11" t="e">
        <f t="shared" si="55"/>
        <v>#DIV/0!</v>
      </c>
      <c r="CQ17" s="11" t="e">
        <f t="shared" si="55"/>
        <v>#DIV/0!</v>
      </c>
      <c r="CR17" s="11" t="e">
        <f t="shared" si="55"/>
        <v>#DIV/0!</v>
      </c>
      <c r="CS17" s="11" t="e">
        <f t="shared" si="55"/>
        <v>#DIV/0!</v>
      </c>
      <c r="CT17" s="11" t="e">
        <f t="shared" si="55"/>
        <v>#DIV/0!</v>
      </c>
      <c r="CU17" s="11" t="e">
        <f t="shared" si="55"/>
        <v>#DIV/0!</v>
      </c>
      <c r="CV17" s="11" t="e">
        <f t="shared" si="55"/>
        <v>#DIV/0!</v>
      </c>
      <c r="CW17" s="11" t="e">
        <f t="shared" si="55"/>
        <v>#DIV/0!</v>
      </c>
      <c r="CX17" s="11" t="e">
        <f t="shared" si="55"/>
        <v>#DIV/0!</v>
      </c>
      <c r="CY17" s="11" t="e">
        <f t="shared" si="55"/>
        <v>#DIV/0!</v>
      </c>
      <c r="CZ17" s="11" t="e">
        <f t="shared" ref="CZ17:FK17" si="56">1-CZ15</f>
        <v>#DIV/0!</v>
      </c>
      <c r="DA17" s="11" t="e">
        <f t="shared" si="56"/>
        <v>#DIV/0!</v>
      </c>
      <c r="DB17" s="11" t="e">
        <f t="shared" si="56"/>
        <v>#DIV/0!</v>
      </c>
      <c r="DC17" s="11" t="e">
        <f t="shared" si="56"/>
        <v>#DIV/0!</v>
      </c>
      <c r="DD17" s="11" t="e">
        <f t="shared" si="56"/>
        <v>#DIV/0!</v>
      </c>
      <c r="DE17" s="11" t="e">
        <f t="shared" si="56"/>
        <v>#DIV/0!</v>
      </c>
      <c r="DF17" s="11" t="e">
        <f t="shared" si="56"/>
        <v>#DIV/0!</v>
      </c>
      <c r="DG17" s="11" t="e">
        <f t="shared" si="56"/>
        <v>#DIV/0!</v>
      </c>
      <c r="DH17" s="11" t="e">
        <f t="shared" si="56"/>
        <v>#DIV/0!</v>
      </c>
      <c r="DI17" s="11" t="e">
        <f t="shared" si="56"/>
        <v>#DIV/0!</v>
      </c>
      <c r="DJ17" s="11" t="e">
        <f t="shared" si="56"/>
        <v>#DIV/0!</v>
      </c>
      <c r="DK17" s="11" t="e">
        <f t="shared" si="56"/>
        <v>#DIV/0!</v>
      </c>
      <c r="DL17" s="11" t="e">
        <f t="shared" si="56"/>
        <v>#DIV/0!</v>
      </c>
      <c r="DM17" s="11" t="e">
        <f t="shared" si="56"/>
        <v>#DIV/0!</v>
      </c>
      <c r="DN17" s="11" t="e">
        <f t="shared" si="56"/>
        <v>#DIV/0!</v>
      </c>
      <c r="DO17" s="11" t="e">
        <f t="shared" si="56"/>
        <v>#DIV/0!</v>
      </c>
      <c r="DP17" s="11" t="e">
        <f t="shared" si="56"/>
        <v>#DIV/0!</v>
      </c>
      <c r="DQ17" s="11" t="e">
        <f t="shared" si="56"/>
        <v>#DIV/0!</v>
      </c>
      <c r="DR17" s="11" t="e">
        <f t="shared" si="56"/>
        <v>#DIV/0!</v>
      </c>
      <c r="DS17" s="11" t="e">
        <f t="shared" si="56"/>
        <v>#DIV/0!</v>
      </c>
      <c r="DT17" s="11" t="e">
        <f t="shared" si="56"/>
        <v>#DIV/0!</v>
      </c>
      <c r="DU17" s="11" t="e">
        <f t="shared" si="56"/>
        <v>#DIV/0!</v>
      </c>
      <c r="DV17" s="11" t="e">
        <f t="shared" si="56"/>
        <v>#DIV/0!</v>
      </c>
      <c r="DW17" s="11" t="e">
        <f t="shared" si="56"/>
        <v>#DIV/0!</v>
      </c>
      <c r="DX17" s="11" t="e">
        <f t="shared" si="56"/>
        <v>#DIV/0!</v>
      </c>
      <c r="DY17" s="11" t="e">
        <f t="shared" si="56"/>
        <v>#DIV/0!</v>
      </c>
      <c r="DZ17" s="11" t="e">
        <f t="shared" si="56"/>
        <v>#DIV/0!</v>
      </c>
      <c r="EA17" s="11" t="e">
        <f t="shared" si="56"/>
        <v>#DIV/0!</v>
      </c>
      <c r="EB17" s="11" t="e">
        <f t="shared" si="56"/>
        <v>#DIV/0!</v>
      </c>
      <c r="EC17" s="11" t="e">
        <f t="shared" si="56"/>
        <v>#DIV/0!</v>
      </c>
      <c r="ED17" s="11" t="e">
        <f t="shared" si="56"/>
        <v>#DIV/0!</v>
      </c>
      <c r="EE17" s="11" t="e">
        <f t="shared" si="56"/>
        <v>#DIV/0!</v>
      </c>
      <c r="EF17" s="11" t="e">
        <f t="shared" si="56"/>
        <v>#DIV/0!</v>
      </c>
      <c r="EG17" s="11" t="e">
        <f t="shared" si="56"/>
        <v>#DIV/0!</v>
      </c>
      <c r="EH17" s="11" t="e">
        <f t="shared" si="56"/>
        <v>#DIV/0!</v>
      </c>
      <c r="EI17" s="11" t="e">
        <f t="shared" si="56"/>
        <v>#DIV/0!</v>
      </c>
      <c r="EJ17" s="11" t="e">
        <f t="shared" si="56"/>
        <v>#DIV/0!</v>
      </c>
      <c r="EK17" s="11" t="e">
        <f t="shared" si="56"/>
        <v>#DIV/0!</v>
      </c>
      <c r="EL17" s="11" t="e">
        <f t="shared" si="56"/>
        <v>#DIV/0!</v>
      </c>
      <c r="EM17" s="11" t="e">
        <f t="shared" si="56"/>
        <v>#DIV/0!</v>
      </c>
      <c r="EN17" s="11" t="e">
        <f t="shared" si="56"/>
        <v>#DIV/0!</v>
      </c>
      <c r="EO17" s="11" t="e">
        <f t="shared" si="56"/>
        <v>#DIV/0!</v>
      </c>
      <c r="EP17" s="11" t="e">
        <f t="shared" si="56"/>
        <v>#DIV/0!</v>
      </c>
      <c r="EQ17" s="11" t="e">
        <f t="shared" si="56"/>
        <v>#DIV/0!</v>
      </c>
      <c r="ER17" s="11" t="e">
        <f t="shared" si="56"/>
        <v>#DIV/0!</v>
      </c>
      <c r="ES17" s="11" t="e">
        <f t="shared" si="56"/>
        <v>#DIV/0!</v>
      </c>
      <c r="ET17" s="11" t="e">
        <f t="shared" si="56"/>
        <v>#DIV/0!</v>
      </c>
      <c r="EU17" s="11" t="e">
        <f t="shared" si="56"/>
        <v>#DIV/0!</v>
      </c>
      <c r="EV17" s="11" t="e">
        <f t="shared" si="56"/>
        <v>#DIV/0!</v>
      </c>
      <c r="EW17" s="11" t="e">
        <f t="shared" si="56"/>
        <v>#DIV/0!</v>
      </c>
      <c r="EX17" s="11" t="e">
        <f t="shared" si="56"/>
        <v>#DIV/0!</v>
      </c>
      <c r="EY17" s="11" t="e">
        <f t="shared" si="56"/>
        <v>#DIV/0!</v>
      </c>
      <c r="EZ17" s="11" t="e">
        <f t="shared" si="56"/>
        <v>#DIV/0!</v>
      </c>
      <c r="FA17" s="11" t="e">
        <f t="shared" si="56"/>
        <v>#DIV/0!</v>
      </c>
      <c r="FB17" s="11" t="e">
        <f t="shared" si="56"/>
        <v>#DIV/0!</v>
      </c>
      <c r="FC17" s="11" t="e">
        <f t="shared" si="56"/>
        <v>#DIV/0!</v>
      </c>
      <c r="FD17" s="11" t="e">
        <f t="shared" si="56"/>
        <v>#DIV/0!</v>
      </c>
      <c r="FE17" s="11" t="e">
        <f t="shared" si="56"/>
        <v>#DIV/0!</v>
      </c>
      <c r="FF17" s="11" t="e">
        <f t="shared" si="56"/>
        <v>#DIV/0!</v>
      </c>
      <c r="FG17" s="11" t="e">
        <f t="shared" si="56"/>
        <v>#DIV/0!</v>
      </c>
      <c r="FH17" s="11" t="e">
        <f t="shared" si="56"/>
        <v>#DIV/0!</v>
      </c>
      <c r="FI17" s="11" t="e">
        <f t="shared" si="56"/>
        <v>#DIV/0!</v>
      </c>
      <c r="FJ17" s="11" t="e">
        <f t="shared" si="56"/>
        <v>#DIV/0!</v>
      </c>
      <c r="FK17" s="11" t="e">
        <f t="shared" si="56"/>
        <v>#DIV/0!</v>
      </c>
      <c r="FL17" s="11" t="e">
        <f t="shared" ref="FL17:HW17" si="57">1-FL15</f>
        <v>#DIV/0!</v>
      </c>
      <c r="FM17" s="11" t="e">
        <f t="shared" si="57"/>
        <v>#DIV/0!</v>
      </c>
      <c r="FN17" s="11" t="e">
        <f t="shared" si="57"/>
        <v>#DIV/0!</v>
      </c>
      <c r="FO17" s="11" t="e">
        <f t="shared" si="57"/>
        <v>#DIV/0!</v>
      </c>
      <c r="FP17" s="11" t="e">
        <f t="shared" si="57"/>
        <v>#DIV/0!</v>
      </c>
      <c r="FQ17" s="11" t="e">
        <f t="shared" si="57"/>
        <v>#DIV/0!</v>
      </c>
      <c r="FR17" s="11" t="e">
        <f t="shared" si="57"/>
        <v>#DIV/0!</v>
      </c>
      <c r="FS17" s="11" t="e">
        <f t="shared" si="57"/>
        <v>#DIV/0!</v>
      </c>
      <c r="FT17" s="11" t="e">
        <f t="shared" si="57"/>
        <v>#DIV/0!</v>
      </c>
      <c r="FU17" s="11" t="e">
        <f t="shared" si="57"/>
        <v>#DIV/0!</v>
      </c>
      <c r="FV17" s="11" t="e">
        <f t="shared" si="57"/>
        <v>#DIV/0!</v>
      </c>
      <c r="FW17" s="11" t="e">
        <f t="shared" si="57"/>
        <v>#DIV/0!</v>
      </c>
      <c r="FX17" s="11" t="e">
        <f t="shared" si="57"/>
        <v>#DIV/0!</v>
      </c>
      <c r="FY17" s="11" t="e">
        <f t="shared" si="57"/>
        <v>#DIV/0!</v>
      </c>
      <c r="FZ17" s="11" t="e">
        <f t="shared" si="57"/>
        <v>#DIV/0!</v>
      </c>
      <c r="GA17" s="11" t="e">
        <f t="shared" si="57"/>
        <v>#DIV/0!</v>
      </c>
      <c r="GB17" s="11" t="e">
        <f t="shared" si="57"/>
        <v>#DIV/0!</v>
      </c>
      <c r="GC17" s="11" t="e">
        <f t="shared" si="57"/>
        <v>#DIV/0!</v>
      </c>
      <c r="GD17" s="11" t="e">
        <f t="shared" si="57"/>
        <v>#DIV/0!</v>
      </c>
      <c r="GE17" s="11" t="e">
        <f t="shared" si="57"/>
        <v>#DIV/0!</v>
      </c>
      <c r="GF17" s="11" t="e">
        <f t="shared" si="57"/>
        <v>#DIV/0!</v>
      </c>
      <c r="GG17" s="11" t="e">
        <f t="shared" si="57"/>
        <v>#DIV/0!</v>
      </c>
      <c r="GH17" s="11" t="e">
        <f t="shared" si="57"/>
        <v>#DIV/0!</v>
      </c>
      <c r="GI17" s="11" t="e">
        <f t="shared" si="57"/>
        <v>#DIV/0!</v>
      </c>
      <c r="GJ17" s="11" t="e">
        <f t="shared" si="57"/>
        <v>#DIV/0!</v>
      </c>
      <c r="GK17" s="11" t="e">
        <f t="shared" si="57"/>
        <v>#DIV/0!</v>
      </c>
      <c r="GL17" s="11" t="e">
        <f t="shared" si="57"/>
        <v>#DIV/0!</v>
      </c>
      <c r="GM17" s="11" t="e">
        <f t="shared" si="57"/>
        <v>#DIV/0!</v>
      </c>
      <c r="GN17" s="11" t="e">
        <f t="shared" si="57"/>
        <v>#DIV/0!</v>
      </c>
      <c r="GO17" s="11" t="e">
        <f t="shared" si="57"/>
        <v>#DIV/0!</v>
      </c>
      <c r="GP17" s="11" t="e">
        <f t="shared" si="57"/>
        <v>#DIV/0!</v>
      </c>
      <c r="GQ17" s="11" t="e">
        <f t="shared" si="57"/>
        <v>#DIV/0!</v>
      </c>
      <c r="GR17" s="11" t="e">
        <f t="shared" si="57"/>
        <v>#DIV/0!</v>
      </c>
      <c r="GS17" s="11" t="e">
        <f t="shared" si="57"/>
        <v>#DIV/0!</v>
      </c>
      <c r="GT17" s="11" t="e">
        <f t="shared" si="57"/>
        <v>#DIV/0!</v>
      </c>
      <c r="GU17" s="11" t="e">
        <f t="shared" si="57"/>
        <v>#DIV/0!</v>
      </c>
      <c r="GV17" s="11" t="e">
        <f t="shared" si="57"/>
        <v>#DIV/0!</v>
      </c>
      <c r="GW17" s="11" t="e">
        <f t="shared" si="57"/>
        <v>#DIV/0!</v>
      </c>
      <c r="GX17" s="11" t="e">
        <f t="shared" si="57"/>
        <v>#DIV/0!</v>
      </c>
      <c r="GY17" s="11" t="e">
        <f t="shared" si="57"/>
        <v>#DIV/0!</v>
      </c>
      <c r="GZ17" s="11" t="e">
        <f t="shared" si="57"/>
        <v>#DIV/0!</v>
      </c>
      <c r="HA17" s="11" t="e">
        <f t="shared" si="57"/>
        <v>#DIV/0!</v>
      </c>
      <c r="HB17" s="11" t="e">
        <f t="shared" si="57"/>
        <v>#DIV/0!</v>
      </c>
      <c r="HC17" s="11" t="e">
        <f t="shared" si="57"/>
        <v>#DIV/0!</v>
      </c>
      <c r="HD17" s="11" t="e">
        <f t="shared" si="57"/>
        <v>#DIV/0!</v>
      </c>
      <c r="HE17" s="11" t="e">
        <f t="shared" si="57"/>
        <v>#DIV/0!</v>
      </c>
      <c r="HF17" s="11" t="e">
        <f t="shared" si="57"/>
        <v>#DIV/0!</v>
      </c>
      <c r="HG17" s="11" t="e">
        <f t="shared" si="57"/>
        <v>#DIV/0!</v>
      </c>
      <c r="HH17" s="11" t="e">
        <f t="shared" si="57"/>
        <v>#DIV/0!</v>
      </c>
      <c r="HI17" s="11" t="e">
        <f t="shared" si="57"/>
        <v>#DIV/0!</v>
      </c>
      <c r="HJ17" s="11" t="e">
        <f t="shared" si="57"/>
        <v>#DIV/0!</v>
      </c>
      <c r="HK17" s="11" t="e">
        <f t="shared" si="57"/>
        <v>#DIV/0!</v>
      </c>
      <c r="HL17" s="11" t="e">
        <f t="shared" si="57"/>
        <v>#DIV/0!</v>
      </c>
      <c r="HM17" s="11" t="e">
        <f t="shared" si="57"/>
        <v>#DIV/0!</v>
      </c>
      <c r="HN17" s="11" t="e">
        <f t="shared" si="57"/>
        <v>#DIV/0!</v>
      </c>
      <c r="HO17" s="11" t="e">
        <f t="shared" si="57"/>
        <v>#DIV/0!</v>
      </c>
      <c r="HP17" s="11" t="e">
        <f t="shared" si="57"/>
        <v>#DIV/0!</v>
      </c>
      <c r="HQ17" s="11" t="e">
        <f t="shared" si="57"/>
        <v>#DIV/0!</v>
      </c>
      <c r="HR17" s="11" t="e">
        <f t="shared" si="57"/>
        <v>#DIV/0!</v>
      </c>
      <c r="HS17" s="11" t="e">
        <f t="shared" si="57"/>
        <v>#DIV/0!</v>
      </c>
      <c r="HT17" s="11" t="e">
        <f t="shared" si="57"/>
        <v>#DIV/0!</v>
      </c>
      <c r="HU17" s="11" t="e">
        <f t="shared" si="57"/>
        <v>#DIV/0!</v>
      </c>
      <c r="HV17" s="11" t="e">
        <f t="shared" si="57"/>
        <v>#DIV/0!</v>
      </c>
      <c r="HW17" s="11" t="e">
        <f t="shared" si="57"/>
        <v>#DIV/0!</v>
      </c>
      <c r="HX17" s="11" t="e">
        <f t="shared" ref="HX17:KI17" si="58">1-HX15</f>
        <v>#DIV/0!</v>
      </c>
      <c r="HY17" s="11" t="e">
        <f t="shared" si="58"/>
        <v>#DIV/0!</v>
      </c>
      <c r="HZ17" s="11" t="e">
        <f t="shared" si="58"/>
        <v>#DIV/0!</v>
      </c>
      <c r="IA17" s="11" t="e">
        <f t="shared" si="58"/>
        <v>#DIV/0!</v>
      </c>
      <c r="IB17" s="11" t="e">
        <f t="shared" si="58"/>
        <v>#DIV/0!</v>
      </c>
      <c r="IC17" s="11" t="e">
        <f t="shared" si="58"/>
        <v>#DIV/0!</v>
      </c>
      <c r="ID17" s="11" t="e">
        <f t="shared" si="58"/>
        <v>#DIV/0!</v>
      </c>
      <c r="IE17" s="11" t="e">
        <f t="shared" si="58"/>
        <v>#DIV/0!</v>
      </c>
      <c r="IF17" s="11" t="e">
        <f t="shared" si="58"/>
        <v>#DIV/0!</v>
      </c>
      <c r="IG17" s="11" t="e">
        <f t="shared" si="58"/>
        <v>#DIV/0!</v>
      </c>
      <c r="IH17" s="11" t="e">
        <f t="shared" si="58"/>
        <v>#DIV/0!</v>
      </c>
      <c r="II17" s="11" t="e">
        <f t="shared" si="58"/>
        <v>#DIV/0!</v>
      </c>
      <c r="IJ17" s="11" t="e">
        <f t="shared" si="58"/>
        <v>#DIV/0!</v>
      </c>
      <c r="IK17" s="11" t="e">
        <f t="shared" si="58"/>
        <v>#DIV/0!</v>
      </c>
      <c r="IL17" s="11" t="e">
        <f t="shared" si="58"/>
        <v>#DIV/0!</v>
      </c>
      <c r="IM17" s="11" t="e">
        <f t="shared" si="58"/>
        <v>#DIV/0!</v>
      </c>
      <c r="IN17" s="11" t="e">
        <f t="shared" si="58"/>
        <v>#DIV/0!</v>
      </c>
      <c r="IO17" s="11" t="e">
        <f t="shared" si="58"/>
        <v>#DIV/0!</v>
      </c>
      <c r="IP17" s="11" t="e">
        <f t="shared" si="58"/>
        <v>#DIV/0!</v>
      </c>
      <c r="IQ17" s="11" t="e">
        <f t="shared" si="58"/>
        <v>#DIV/0!</v>
      </c>
      <c r="IR17" s="11" t="e">
        <f t="shared" si="58"/>
        <v>#DIV/0!</v>
      </c>
      <c r="IS17" s="11" t="e">
        <f t="shared" si="58"/>
        <v>#DIV/0!</v>
      </c>
      <c r="IT17" s="11" t="e">
        <f t="shared" si="58"/>
        <v>#DIV/0!</v>
      </c>
      <c r="IU17" s="11" t="e">
        <f t="shared" si="58"/>
        <v>#DIV/0!</v>
      </c>
      <c r="IV17" s="11" t="e">
        <f t="shared" si="58"/>
        <v>#DIV/0!</v>
      </c>
      <c r="IW17" s="11" t="e">
        <f t="shared" si="58"/>
        <v>#DIV/0!</v>
      </c>
      <c r="IX17" s="11" t="e">
        <f t="shared" si="58"/>
        <v>#DIV/0!</v>
      </c>
      <c r="IY17" s="11" t="e">
        <f t="shared" si="58"/>
        <v>#DIV/0!</v>
      </c>
      <c r="IZ17" s="11" t="e">
        <f t="shared" si="58"/>
        <v>#DIV/0!</v>
      </c>
      <c r="JA17" s="11" t="e">
        <f t="shared" si="58"/>
        <v>#DIV/0!</v>
      </c>
      <c r="JB17" s="11" t="e">
        <f t="shared" si="58"/>
        <v>#DIV/0!</v>
      </c>
      <c r="JC17" s="11" t="e">
        <f t="shared" si="58"/>
        <v>#DIV/0!</v>
      </c>
      <c r="JD17" s="11" t="e">
        <f t="shared" si="58"/>
        <v>#DIV/0!</v>
      </c>
      <c r="JE17" s="11" t="e">
        <f t="shared" si="58"/>
        <v>#DIV/0!</v>
      </c>
      <c r="JF17" s="11" t="e">
        <f t="shared" si="58"/>
        <v>#DIV/0!</v>
      </c>
      <c r="JG17" s="11" t="e">
        <f t="shared" si="58"/>
        <v>#DIV/0!</v>
      </c>
      <c r="JH17" s="11" t="e">
        <f t="shared" si="58"/>
        <v>#DIV/0!</v>
      </c>
      <c r="JI17" s="11" t="e">
        <f t="shared" si="58"/>
        <v>#DIV/0!</v>
      </c>
      <c r="JJ17" s="11" t="e">
        <f t="shared" si="58"/>
        <v>#DIV/0!</v>
      </c>
      <c r="JK17" s="11" t="e">
        <f t="shared" si="58"/>
        <v>#DIV/0!</v>
      </c>
      <c r="JL17" s="11" t="e">
        <f t="shared" si="58"/>
        <v>#DIV/0!</v>
      </c>
      <c r="JM17" s="11" t="e">
        <f t="shared" si="58"/>
        <v>#DIV/0!</v>
      </c>
      <c r="JN17" s="11" t="e">
        <f t="shared" si="58"/>
        <v>#DIV/0!</v>
      </c>
      <c r="JO17" s="11" t="e">
        <f t="shared" si="58"/>
        <v>#DIV/0!</v>
      </c>
      <c r="JP17" s="11" t="e">
        <f t="shared" si="58"/>
        <v>#DIV/0!</v>
      </c>
      <c r="JQ17" s="11" t="e">
        <f t="shared" si="58"/>
        <v>#DIV/0!</v>
      </c>
      <c r="JR17" s="11" t="e">
        <f t="shared" si="58"/>
        <v>#DIV/0!</v>
      </c>
      <c r="JS17" s="11" t="e">
        <f t="shared" si="58"/>
        <v>#DIV/0!</v>
      </c>
      <c r="JT17" s="11" t="e">
        <f t="shared" si="58"/>
        <v>#DIV/0!</v>
      </c>
      <c r="JU17" s="11" t="e">
        <f t="shared" si="58"/>
        <v>#DIV/0!</v>
      </c>
      <c r="JV17" s="11" t="e">
        <f t="shared" si="58"/>
        <v>#DIV/0!</v>
      </c>
      <c r="JW17" s="11" t="e">
        <f t="shared" si="58"/>
        <v>#DIV/0!</v>
      </c>
      <c r="JX17" s="11" t="e">
        <f t="shared" si="58"/>
        <v>#DIV/0!</v>
      </c>
      <c r="JY17" s="11" t="e">
        <f t="shared" si="58"/>
        <v>#DIV/0!</v>
      </c>
      <c r="JZ17" s="11" t="e">
        <f t="shared" si="58"/>
        <v>#DIV/0!</v>
      </c>
      <c r="KA17" s="11" t="e">
        <f t="shared" si="58"/>
        <v>#DIV/0!</v>
      </c>
      <c r="KB17" s="11" t="e">
        <f t="shared" si="58"/>
        <v>#DIV/0!</v>
      </c>
      <c r="KC17" s="11" t="e">
        <f t="shared" si="58"/>
        <v>#DIV/0!</v>
      </c>
      <c r="KD17" s="11" t="e">
        <f t="shared" si="58"/>
        <v>#DIV/0!</v>
      </c>
      <c r="KE17" s="11" t="e">
        <f t="shared" si="58"/>
        <v>#DIV/0!</v>
      </c>
      <c r="KF17" s="11" t="e">
        <f t="shared" si="58"/>
        <v>#DIV/0!</v>
      </c>
      <c r="KG17" s="11" t="e">
        <f t="shared" si="58"/>
        <v>#DIV/0!</v>
      </c>
      <c r="KH17" s="11" t="e">
        <f t="shared" si="58"/>
        <v>#DIV/0!</v>
      </c>
      <c r="KI17" s="11" t="e">
        <f t="shared" si="58"/>
        <v>#DIV/0!</v>
      </c>
      <c r="KJ17" s="11" t="e">
        <f t="shared" ref="KJ17:MU17" si="59">1-KJ15</f>
        <v>#DIV/0!</v>
      </c>
      <c r="KK17" s="11" t="e">
        <f t="shared" si="59"/>
        <v>#DIV/0!</v>
      </c>
      <c r="KL17" s="11" t="e">
        <f t="shared" si="59"/>
        <v>#DIV/0!</v>
      </c>
      <c r="KM17" s="11" t="e">
        <f t="shared" si="59"/>
        <v>#DIV/0!</v>
      </c>
      <c r="KN17" s="11" t="e">
        <f t="shared" si="59"/>
        <v>#DIV/0!</v>
      </c>
      <c r="KO17" s="11" t="e">
        <f t="shared" si="59"/>
        <v>#DIV/0!</v>
      </c>
      <c r="KP17" s="11" t="e">
        <f t="shared" si="59"/>
        <v>#DIV/0!</v>
      </c>
      <c r="KQ17" s="11" t="e">
        <f t="shared" si="59"/>
        <v>#DIV/0!</v>
      </c>
      <c r="KR17" s="11" t="e">
        <f t="shared" si="59"/>
        <v>#DIV/0!</v>
      </c>
      <c r="KS17" s="11" t="e">
        <f t="shared" si="59"/>
        <v>#DIV/0!</v>
      </c>
      <c r="KT17" s="11" t="e">
        <f t="shared" si="59"/>
        <v>#DIV/0!</v>
      </c>
      <c r="KU17" s="11" t="e">
        <f t="shared" si="59"/>
        <v>#DIV/0!</v>
      </c>
      <c r="KV17" s="11" t="e">
        <f t="shared" si="59"/>
        <v>#DIV/0!</v>
      </c>
      <c r="KW17" s="11" t="e">
        <f t="shared" si="59"/>
        <v>#DIV/0!</v>
      </c>
      <c r="KX17" s="11" t="e">
        <f t="shared" si="59"/>
        <v>#DIV/0!</v>
      </c>
      <c r="KY17" s="11" t="e">
        <f t="shared" si="59"/>
        <v>#DIV/0!</v>
      </c>
      <c r="KZ17" s="11" t="e">
        <f t="shared" si="59"/>
        <v>#DIV/0!</v>
      </c>
      <c r="LA17" s="11" t="e">
        <f t="shared" si="59"/>
        <v>#DIV/0!</v>
      </c>
      <c r="LB17" s="11" t="e">
        <f t="shared" si="59"/>
        <v>#DIV/0!</v>
      </c>
      <c r="LC17" s="11" t="e">
        <f t="shared" si="59"/>
        <v>#DIV/0!</v>
      </c>
      <c r="LD17" s="11" t="e">
        <f t="shared" si="59"/>
        <v>#DIV/0!</v>
      </c>
      <c r="LE17" s="11" t="e">
        <f t="shared" si="59"/>
        <v>#DIV/0!</v>
      </c>
      <c r="LF17" s="11" t="e">
        <f t="shared" si="59"/>
        <v>#DIV/0!</v>
      </c>
      <c r="LG17" s="11" t="e">
        <f t="shared" si="59"/>
        <v>#DIV/0!</v>
      </c>
      <c r="LH17" s="11" t="e">
        <f t="shared" si="59"/>
        <v>#DIV/0!</v>
      </c>
      <c r="LI17" s="11" t="e">
        <f t="shared" si="59"/>
        <v>#DIV/0!</v>
      </c>
      <c r="LJ17" s="11" t="e">
        <f t="shared" si="59"/>
        <v>#DIV/0!</v>
      </c>
      <c r="LK17" s="11" t="e">
        <f t="shared" si="59"/>
        <v>#DIV/0!</v>
      </c>
      <c r="LL17" s="11" t="e">
        <f t="shared" si="59"/>
        <v>#DIV/0!</v>
      </c>
      <c r="LM17" s="11" t="e">
        <f t="shared" si="59"/>
        <v>#DIV/0!</v>
      </c>
      <c r="LN17" s="11" t="e">
        <f t="shared" si="59"/>
        <v>#DIV/0!</v>
      </c>
      <c r="LO17" s="11" t="e">
        <f t="shared" si="59"/>
        <v>#DIV/0!</v>
      </c>
      <c r="LP17" s="11" t="e">
        <f t="shared" si="59"/>
        <v>#DIV/0!</v>
      </c>
      <c r="LQ17" s="11" t="e">
        <f t="shared" si="59"/>
        <v>#DIV/0!</v>
      </c>
      <c r="LR17" s="11" t="e">
        <f t="shared" si="59"/>
        <v>#DIV/0!</v>
      </c>
      <c r="LS17" s="11" t="e">
        <f t="shared" si="59"/>
        <v>#DIV/0!</v>
      </c>
      <c r="LT17" s="11" t="e">
        <f t="shared" si="59"/>
        <v>#DIV/0!</v>
      </c>
      <c r="LU17" s="11" t="e">
        <f t="shared" si="59"/>
        <v>#DIV/0!</v>
      </c>
      <c r="LV17" s="11" t="e">
        <f t="shared" si="59"/>
        <v>#DIV/0!</v>
      </c>
      <c r="LW17" s="11" t="e">
        <f t="shared" si="59"/>
        <v>#DIV/0!</v>
      </c>
      <c r="LX17" s="11" t="e">
        <f t="shared" si="59"/>
        <v>#DIV/0!</v>
      </c>
      <c r="LY17" s="11" t="e">
        <f t="shared" si="59"/>
        <v>#DIV/0!</v>
      </c>
      <c r="LZ17" s="11" t="e">
        <f t="shared" si="59"/>
        <v>#DIV/0!</v>
      </c>
      <c r="MA17" s="11" t="e">
        <f t="shared" si="59"/>
        <v>#DIV/0!</v>
      </c>
      <c r="MB17" s="11" t="e">
        <f t="shared" si="59"/>
        <v>#DIV/0!</v>
      </c>
      <c r="MC17" s="11" t="e">
        <f t="shared" si="59"/>
        <v>#DIV/0!</v>
      </c>
      <c r="MD17" s="11" t="e">
        <f t="shared" si="59"/>
        <v>#DIV/0!</v>
      </c>
      <c r="ME17" s="11" t="e">
        <f t="shared" si="59"/>
        <v>#DIV/0!</v>
      </c>
      <c r="MF17" s="11" t="e">
        <f t="shared" si="59"/>
        <v>#DIV/0!</v>
      </c>
      <c r="MG17" s="11" t="e">
        <f t="shared" si="59"/>
        <v>#DIV/0!</v>
      </c>
      <c r="MH17" s="11" t="e">
        <f t="shared" si="59"/>
        <v>#DIV/0!</v>
      </c>
      <c r="MI17" s="11" t="e">
        <f t="shared" si="59"/>
        <v>#DIV/0!</v>
      </c>
      <c r="MJ17" s="11" t="e">
        <f t="shared" si="59"/>
        <v>#DIV/0!</v>
      </c>
      <c r="MK17" s="11" t="e">
        <f t="shared" si="59"/>
        <v>#DIV/0!</v>
      </c>
      <c r="ML17" s="11" t="e">
        <f t="shared" si="59"/>
        <v>#DIV/0!</v>
      </c>
      <c r="MM17" s="11" t="e">
        <f t="shared" si="59"/>
        <v>#DIV/0!</v>
      </c>
      <c r="MN17" s="11" t="e">
        <f t="shared" si="59"/>
        <v>#DIV/0!</v>
      </c>
      <c r="MO17" s="11" t="e">
        <f t="shared" si="59"/>
        <v>#DIV/0!</v>
      </c>
      <c r="MP17" s="11" t="e">
        <f t="shared" si="59"/>
        <v>#DIV/0!</v>
      </c>
      <c r="MQ17" s="11" t="e">
        <f t="shared" si="59"/>
        <v>#DIV/0!</v>
      </c>
      <c r="MR17" s="11" t="e">
        <f t="shared" si="59"/>
        <v>#DIV/0!</v>
      </c>
      <c r="MS17" s="11" t="e">
        <f t="shared" si="59"/>
        <v>#DIV/0!</v>
      </c>
      <c r="MT17" s="11" t="e">
        <f t="shared" si="59"/>
        <v>#DIV/0!</v>
      </c>
      <c r="MU17" s="11" t="e">
        <f t="shared" si="59"/>
        <v>#DIV/0!</v>
      </c>
      <c r="MV17" s="11" t="e">
        <f t="shared" ref="MV17:ND17" si="60">1-MV15</f>
        <v>#DIV/0!</v>
      </c>
      <c r="MW17" s="11" t="e">
        <f t="shared" si="60"/>
        <v>#DIV/0!</v>
      </c>
      <c r="MX17" s="11" t="e">
        <f t="shared" si="60"/>
        <v>#DIV/0!</v>
      </c>
      <c r="MY17" s="11" t="e">
        <f t="shared" si="60"/>
        <v>#DIV/0!</v>
      </c>
      <c r="MZ17" s="11" t="e">
        <f t="shared" si="60"/>
        <v>#DIV/0!</v>
      </c>
      <c r="NA17" s="11" t="e">
        <f t="shared" si="60"/>
        <v>#DIV/0!</v>
      </c>
      <c r="NB17" s="11" t="e">
        <f t="shared" si="60"/>
        <v>#DIV/0!</v>
      </c>
      <c r="NC17" s="11" t="e">
        <f t="shared" si="60"/>
        <v>#DIV/0!</v>
      </c>
      <c r="ND17" s="11">
        <f t="shared" si="60"/>
        <v>0.96187775677378706</v>
      </c>
    </row>
    <row r="18" spans="1:368" x14ac:dyDescent="0.3">
      <c r="A18" s="9">
        <v>46065</v>
      </c>
      <c r="B18" s="2">
        <v>29</v>
      </c>
      <c r="C18" s="2">
        <v>190</v>
      </c>
      <c r="E18" s="2">
        <v>2</v>
      </c>
      <c r="F18" s="2">
        <v>4</v>
      </c>
      <c r="G18" s="2">
        <v>2</v>
      </c>
      <c r="H18" s="2">
        <v>219</v>
      </c>
      <c r="I18" s="2">
        <v>8</v>
      </c>
      <c r="N18" s="16" t="s">
        <v>31</v>
      </c>
      <c r="O18" s="2" t="s">
        <v>143</v>
      </c>
      <c r="P18"/>
      <c r="AG18"/>
      <c r="AJ18"/>
      <c r="AL18" s="48" t="s">
        <v>622</v>
      </c>
      <c r="AM18" s="11">
        <f t="shared" ref="AM18:CI18" si="61">1-AM13</f>
        <v>0.73529411764705888</v>
      </c>
      <c r="AN18" s="11">
        <f t="shared" si="61"/>
        <v>0.84210526315789469</v>
      </c>
      <c r="AO18" s="11">
        <f t="shared" si="61"/>
        <v>0.90476190476190477</v>
      </c>
      <c r="AP18" s="11">
        <f t="shared" si="61"/>
        <v>0.95238095238095233</v>
      </c>
      <c r="AQ18" s="11">
        <f t="shared" si="61"/>
        <v>0.72</v>
      </c>
      <c r="AR18" s="11">
        <f>1-AR13</f>
        <v>0.81666666666666665</v>
      </c>
      <c r="AS18" s="11">
        <f t="shared" si="61"/>
        <v>0.91428571428571426</v>
      </c>
      <c r="AT18" s="11">
        <f t="shared" si="61"/>
        <v>0.85714285714285721</v>
      </c>
      <c r="AU18" s="11">
        <f t="shared" si="61"/>
        <v>0.875</v>
      </c>
      <c r="AV18" s="11">
        <f t="shared" si="61"/>
        <v>0.91666666666666663</v>
      </c>
      <c r="AW18" s="11">
        <f t="shared" si="61"/>
        <v>0.8666666666666667</v>
      </c>
      <c r="AX18" s="11">
        <f t="shared" si="61"/>
        <v>0.88442211055276387</v>
      </c>
      <c r="AY18" s="11">
        <f t="shared" si="61"/>
        <v>0.95</v>
      </c>
      <c r="AZ18" s="11">
        <f t="shared" si="61"/>
        <v>0.92500000000000004</v>
      </c>
      <c r="BA18" s="11">
        <f t="shared" si="61"/>
        <v>0.93333333333333335</v>
      </c>
      <c r="BB18" s="11">
        <f t="shared" si="61"/>
        <v>0.90909090909090906</v>
      </c>
      <c r="BC18" s="11">
        <f t="shared" si="61"/>
        <v>0.89473684210526316</v>
      </c>
      <c r="BD18" s="11">
        <f t="shared" si="61"/>
        <v>0.921875</v>
      </c>
      <c r="BE18" s="11">
        <f t="shared" si="61"/>
        <v>0.94444444444444442</v>
      </c>
      <c r="BF18" s="11">
        <f t="shared" si="61"/>
        <v>0.88095238095238093</v>
      </c>
      <c r="BG18" s="11">
        <f t="shared" si="61"/>
        <v>0.8529411764705882</v>
      </c>
      <c r="BH18" s="11">
        <f t="shared" si="61"/>
        <v>0.94444444444444442</v>
      </c>
      <c r="BI18" s="11">
        <f t="shared" si="61"/>
        <v>0.89130434782608692</v>
      </c>
      <c r="BJ18" s="11">
        <f t="shared" si="61"/>
        <v>0.90206185567010311</v>
      </c>
      <c r="BK18" s="11">
        <f t="shared" ref="BK18:BN18" si="62">1-BK14</f>
        <v>0.8</v>
      </c>
      <c r="BL18" s="11">
        <f t="shared" si="62"/>
        <v>0.85185185185185186</v>
      </c>
      <c r="BM18" s="11">
        <f t="shared" si="62"/>
        <v>0.83870967741935487</v>
      </c>
      <c r="BN18" s="11">
        <f t="shared" si="62"/>
        <v>0.73076923076923084</v>
      </c>
      <c r="BO18" s="11">
        <f>1-BO14</f>
        <v>0.72727272727272729</v>
      </c>
      <c r="BP18" s="11">
        <f t="shared" si="61"/>
        <v>0.92105263157894735</v>
      </c>
      <c r="BQ18" s="11">
        <f>1-BQ14</f>
        <v>0.8</v>
      </c>
      <c r="BR18" s="11">
        <f t="shared" si="61"/>
        <v>0.95833333333333337</v>
      </c>
      <c r="BS18" s="11">
        <f t="shared" si="61"/>
        <v>0.72727272727272729</v>
      </c>
      <c r="BT18" s="11">
        <f t="shared" si="61"/>
        <v>0.88235294117647056</v>
      </c>
      <c r="BU18" s="11">
        <f t="shared" si="61"/>
        <v>0.86206896551724133</v>
      </c>
      <c r="BV18" s="11">
        <f t="shared" si="61"/>
        <v>0.93181818181818188</v>
      </c>
      <c r="BW18" s="11">
        <f t="shared" si="61"/>
        <v>0.89436619718309862</v>
      </c>
      <c r="BX18" s="11">
        <f t="shared" si="61"/>
        <v>0.90243902439024393</v>
      </c>
      <c r="BY18" s="11">
        <f t="shared" si="61"/>
        <v>0.91176470588235292</v>
      </c>
      <c r="BZ18" s="11">
        <f t="shared" si="61"/>
        <v>0.92682926829268297</v>
      </c>
      <c r="CA18" s="11">
        <f t="shared" si="61"/>
        <v>0.87234042553191493</v>
      </c>
      <c r="CB18" s="11">
        <f t="shared" si="61"/>
        <v>0.95348837209302328</v>
      </c>
      <c r="CC18" s="11">
        <f t="shared" si="61"/>
        <v>0.91262135922330101</v>
      </c>
      <c r="CD18" s="11" t="e">
        <f t="shared" si="61"/>
        <v>#DIV/0!</v>
      </c>
      <c r="CE18" s="11" t="e">
        <f t="shared" si="61"/>
        <v>#DIV/0!</v>
      </c>
      <c r="CF18" s="11" t="e">
        <f t="shared" si="61"/>
        <v>#DIV/0!</v>
      </c>
      <c r="CG18" s="11" t="e">
        <f t="shared" si="61"/>
        <v>#DIV/0!</v>
      </c>
      <c r="CH18" s="11" t="e">
        <f t="shared" si="61"/>
        <v>#DIV/0!</v>
      </c>
      <c r="CI18" s="11" t="e">
        <f t="shared" si="61"/>
        <v>#DIV/0!</v>
      </c>
      <c r="CJ18" s="11">
        <f>1-CJ14</f>
        <v>0.79920477137176937</v>
      </c>
      <c r="CK18" s="11" t="e">
        <f t="shared" ref="CK18:EV18" si="63">1-CK14</f>
        <v>#DIV/0!</v>
      </c>
      <c r="CL18" s="11" t="e">
        <f t="shared" si="63"/>
        <v>#DIV/0!</v>
      </c>
      <c r="CM18" s="11" t="e">
        <f t="shared" si="63"/>
        <v>#DIV/0!</v>
      </c>
      <c r="CN18" s="11" t="e">
        <f t="shared" si="63"/>
        <v>#DIV/0!</v>
      </c>
      <c r="CO18" s="11" t="e">
        <f t="shared" si="63"/>
        <v>#DIV/0!</v>
      </c>
      <c r="CP18" s="11" t="e">
        <f t="shared" si="63"/>
        <v>#DIV/0!</v>
      </c>
      <c r="CQ18" s="11" t="e">
        <f t="shared" si="63"/>
        <v>#DIV/0!</v>
      </c>
      <c r="CR18" s="11" t="e">
        <f t="shared" si="63"/>
        <v>#DIV/0!</v>
      </c>
      <c r="CS18" s="11" t="e">
        <f t="shared" si="63"/>
        <v>#DIV/0!</v>
      </c>
      <c r="CT18" s="11" t="e">
        <f t="shared" si="63"/>
        <v>#DIV/0!</v>
      </c>
      <c r="CU18" s="11" t="e">
        <f t="shared" si="63"/>
        <v>#DIV/0!</v>
      </c>
      <c r="CV18" s="11" t="e">
        <f t="shared" si="63"/>
        <v>#DIV/0!</v>
      </c>
      <c r="CW18" s="11" t="e">
        <f t="shared" si="63"/>
        <v>#DIV/0!</v>
      </c>
      <c r="CX18" s="11" t="e">
        <f t="shared" si="63"/>
        <v>#DIV/0!</v>
      </c>
      <c r="CY18" s="11" t="e">
        <f t="shared" si="63"/>
        <v>#DIV/0!</v>
      </c>
      <c r="CZ18" s="11" t="e">
        <f t="shared" si="63"/>
        <v>#DIV/0!</v>
      </c>
      <c r="DA18" s="11" t="e">
        <f t="shared" si="63"/>
        <v>#DIV/0!</v>
      </c>
      <c r="DB18" s="11" t="e">
        <f t="shared" si="63"/>
        <v>#DIV/0!</v>
      </c>
      <c r="DC18" s="11" t="e">
        <f t="shared" si="63"/>
        <v>#DIV/0!</v>
      </c>
      <c r="DD18" s="11" t="e">
        <f t="shared" si="63"/>
        <v>#DIV/0!</v>
      </c>
      <c r="DE18" s="11" t="e">
        <f t="shared" si="63"/>
        <v>#DIV/0!</v>
      </c>
      <c r="DF18" s="11" t="e">
        <f t="shared" si="63"/>
        <v>#DIV/0!</v>
      </c>
      <c r="DG18" s="11" t="e">
        <f t="shared" si="63"/>
        <v>#DIV/0!</v>
      </c>
      <c r="DH18" s="11" t="e">
        <f t="shared" si="63"/>
        <v>#DIV/0!</v>
      </c>
      <c r="DI18" s="11" t="e">
        <f t="shared" si="63"/>
        <v>#DIV/0!</v>
      </c>
      <c r="DJ18" s="11" t="e">
        <f t="shared" si="63"/>
        <v>#DIV/0!</v>
      </c>
      <c r="DK18" s="11" t="e">
        <f t="shared" si="63"/>
        <v>#DIV/0!</v>
      </c>
      <c r="DL18" s="11" t="e">
        <f t="shared" si="63"/>
        <v>#DIV/0!</v>
      </c>
      <c r="DM18" s="11" t="e">
        <f t="shared" si="63"/>
        <v>#DIV/0!</v>
      </c>
      <c r="DN18" s="11" t="e">
        <f t="shared" si="63"/>
        <v>#DIV/0!</v>
      </c>
      <c r="DO18" s="11" t="e">
        <f t="shared" si="63"/>
        <v>#DIV/0!</v>
      </c>
      <c r="DP18" s="11" t="e">
        <f t="shared" si="63"/>
        <v>#DIV/0!</v>
      </c>
      <c r="DQ18" s="11" t="e">
        <f t="shared" si="63"/>
        <v>#DIV/0!</v>
      </c>
      <c r="DR18" s="11" t="e">
        <f t="shared" si="63"/>
        <v>#DIV/0!</v>
      </c>
      <c r="DS18" s="11" t="e">
        <f t="shared" si="63"/>
        <v>#DIV/0!</v>
      </c>
      <c r="DT18" s="11" t="e">
        <f t="shared" si="63"/>
        <v>#DIV/0!</v>
      </c>
      <c r="DU18" s="11" t="e">
        <f t="shared" si="63"/>
        <v>#DIV/0!</v>
      </c>
      <c r="DV18" s="11" t="e">
        <f t="shared" si="63"/>
        <v>#DIV/0!</v>
      </c>
      <c r="DW18" s="11" t="e">
        <f t="shared" si="63"/>
        <v>#DIV/0!</v>
      </c>
      <c r="DX18" s="11" t="e">
        <f t="shared" si="63"/>
        <v>#DIV/0!</v>
      </c>
      <c r="DY18" s="11" t="e">
        <f t="shared" si="63"/>
        <v>#DIV/0!</v>
      </c>
      <c r="DZ18" s="11" t="e">
        <f t="shared" si="63"/>
        <v>#DIV/0!</v>
      </c>
      <c r="EA18" s="11" t="e">
        <f t="shared" si="63"/>
        <v>#DIV/0!</v>
      </c>
      <c r="EB18" s="11" t="e">
        <f t="shared" si="63"/>
        <v>#DIV/0!</v>
      </c>
      <c r="EC18" s="11" t="e">
        <f t="shared" si="63"/>
        <v>#DIV/0!</v>
      </c>
      <c r="ED18" s="11" t="e">
        <f t="shared" si="63"/>
        <v>#DIV/0!</v>
      </c>
      <c r="EE18" s="11" t="e">
        <f t="shared" si="63"/>
        <v>#DIV/0!</v>
      </c>
      <c r="EF18" s="11" t="e">
        <f t="shared" si="63"/>
        <v>#DIV/0!</v>
      </c>
      <c r="EG18" s="11" t="e">
        <f t="shared" si="63"/>
        <v>#DIV/0!</v>
      </c>
      <c r="EH18" s="11" t="e">
        <f t="shared" si="63"/>
        <v>#DIV/0!</v>
      </c>
      <c r="EI18" s="11" t="e">
        <f t="shared" si="63"/>
        <v>#DIV/0!</v>
      </c>
      <c r="EJ18" s="11" t="e">
        <f t="shared" si="63"/>
        <v>#DIV/0!</v>
      </c>
      <c r="EK18" s="11" t="e">
        <f t="shared" si="63"/>
        <v>#DIV/0!</v>
      </c>
      <c r="EL18" s="11" t="e">
        <f t="shared" si="63"/>
        <v>#DIV/0!</v>
      </c>
      <c r="EM18" s="11" t="e">
        <f t="shared" si="63"/>
        <v>#DIV/0!</v>
      </c>
      <c r="EN18" s="11" t="e">
        <f t="shared" si="63"/>
        <v>#DIV/0!</v>
      </c>
      <c r="EO18" s="11" t="e">
        <f t="shared" si="63"/>
        <v>#DIV/0!</v>
      </c>
      <c r="EP18" s="11" t="e">
        <f t="shared" si="63"/>
        <v>#DIV/0!</v>
      </c>
      <c r="EQ18" s="11" t="e">
        <f t="shared" si="63"/>
        <v>#DIV/0!</v>
      </c>
      <c r="ER18" s="11" t="e">
        <f t="shared" si="63"/>
        <v>#DIV/0!</v>
      </c>
      <c r="ES18" s="11" t="e">
        <f t="shared" si="63"/>
        <v>#DIV/0!</v>
      </c>
      <c r="ET18" s="11" t="e">
        <f t="shared" si="63"/>
        <v>#DIV/0!</v>
      </c>
      <c r="EU18" s="11" t="e">
        <f t="shared" si="63"/>
        <v>#DIV/0!</v>
      </c>
      <c r="EV18" s="11" t="e">
        <f t="shared" si="63"/>
        <v>#DIV/0!</v>
      </c>
      <c r="EW18" s="11" t="e">
        <f t="shared" ref="EW18:HH18" si="64">1-EW14</f>
        <v>#DIV/0!</v>
      </c>
      <c r="EX18" s="11" t="e">
        <f t="shared" si="64"/>
        <v>#DIV/0!</v>
      </c>
      <c r="EY18" s="11" t="e">
        <f t="shared" si="64"/>
        <v>#DIV/0!</v>
      </c>
      <c r="EZ18" s="11" t="e">
        <f t="shared" si="64"/>
        <v>#DIV/0!</v>
      </c>
      <c r="FA18" s="11" t="e">
        <f t="shared" si="64"/>
        <v>#DIV/0!</v>
      </c>
      <c r="FB18" s="11" t="e">
        <f t="shared" si="64"/>
        <v>#DIV/0!</v>
      </c>
      <c r="FC18" s="11" t="e">
        <f t="shared" si="64"/>
        <v>#DIV/0!</v>
      </c>
      <c r="FD18" s="11" t="e">
        <f t="shared" si="64"/>
        <v>#DIV/0!</v>
      </c>
      <c r="FE18" s="11" t="e">
        <f t="shared" si="64"/>
        <v>#DIV/0!</v>
      </c>
      <c r="FF18" s="11" t="e">
        <f t="shared" si="64"/>
        <v>#DIV/0!</v>
      </c>
      <c r="FG18" s="11" t="e">
        <f t="shared" si="64"/>
        <v>#DIV/0!</v>
      </c>
      <c r="FH18" s="11" t="e">
        <f t="shared" si="64"/>
        <v>#DIV/0!</v>
      </c>
      <c r="FI18" s="11" t="e">
        <f t="shared" si="64"/>
        <v>#DIV/0!</v>
      </c>
      <c r="FJ18" s="11" t="e">
        <f t="shared" si="64"/>
        <v>#DIV/0!</v>
      </c>
      <c r="FK18" s="11" t="e">
        <f t="shared" si="64"/>
        <v>#DIV/0!</v>
      </c>
      <c r="FL18" s="11" t="e">
        <f t="shared" si="64"/>
        <v>#DIV/0!</v>
      </c>
      <c r="FM18" s="11" t="e">
        <f t="shared" si="64"/>
        <v>#DIV/0!</v>
      </c>
      <c r="FN18" s="11" t="e">
        <f t="shared" si="64"/>
        <v>#DIV/0!</v>
      </c>
      <c r="FO18" s="11" t="e">
        <f t="shared" si="64"/>
        <v>#DIV/0!</v>
      </c>
      <c r="FP18" s="11" t="e">
        <f t="shared" si="64"/>
        <v>#DIV/0!</v>
      </c>
      <c r="FQ18" s="11" t="e">
        <f t="shared" si="64"/>
        <v>#DIV/0!</v>
      </c>
      <c r="FR18" s="11" t="e">
        <f t="shared" si="64"/>
        <v>#DIV/0!</v>
      </c>
      <c r="FS18" s="11" t="e">
        <f t="shared" si="64"/>
        <v>#DIV/0!</v>
      </c>
      <c r="FT18" s="11" t="e">
        <f t="shared" si="64"/>
        <v>#DIV/0!</v>
      </c>
      <c r="FU18" s="11" t="e">
        <f t="shared" si="64"/>
        <v>#DIV/0!</v>
      </c>
      <c r="FV18" s="11" t="e">
        <f t="shared" si="64"/>
        <v>#DIV/0!</v>
      </c>
      <c r="FW18" s="11" t="e">
        <f t="shared" si="64"/>
        <v>#DIV/0!</v>
      </c>
      <c r="FX18" s="11" t="e">
        <f t="shared" si="64"/>
        <v>#DIV/0!</v>
      </c>
      <c r="FY18" s="11" t="e">
        <f t="shared" si="64"/>
        <v>#DIV/0!</v>
      </c>
      <c r="FZ18" s="11" t="e">
        <f t="shared" si="64"/>
        <v>#DIV/0!</v>
      </c>
      <c r="GA18" s="11" t="e">
        <f t="shared" si="64"/>
        <v>#DIV/0!</v>
      </c>
      <c r="GB18" s="11" t="e">
        <f t="shared" si="64"/>
        <v>#DIV/0!</v>
      </c>
      <c r="GC18" s="11" t="e">
        <f t="shared" si="64"/>
        <v>#DIV/0!</v>
      </c>
      <c r="GD18" s="11" t="e">
        <f t="shared" si="64"/>
        <v>#DIV/0!</v>
      </c>
      <c r="GE18" s="11" t="e">
        <f t="shared" si="64"/>
        <v>#DIV/0!</v>
      </c>
      <c r="GF18" s="11" t="e">
        <f t="shared" si="64"/>
        <v>#DIV/0!</v>
      </c>
      <c r="GG18" s="11" t="e">
        <f t="shared" si="64"/>
        <v>#DIV/0!</v>
      </c>
      <c r="GH18" s="11" t="e">
        <f t="shared" si="64"/>
        <v>#DIV/0!</v>
      </c>
      <c r="GI18" s="11" t="e">
        <f t="shared" si="64"/>
        <v>#DIV/0!</v>
      </c>
      <c r="GJ18" s="11" t="e">
        <f t="shared" si="64"/>
        <v>#DIV/0!</v>
      </c>
      <c r="GK18" s="11" t="e">
        <f t="shared" si="64"/>
        <v>#DIV/0!</v>
      </c>
      <c r="GL18" s="11" t="e">
        <f t="shared" si="64"/>
        <v>#DIV/0!</v>
      </c>
      <c r="GM18" s="11" t="e">
        <f t="shared" si="64"/>
        <v>#DIV/0!</v>
      </c>
      <c r="GN18" s="11" t="e">
        <f t="shared" si="64"/>
        <v>#DIV/0!</v>
      </c>
      <c r="GO18" s="11" t="e">
        <f t="shared" si="64"/>
        <v>#DIV/0!</v>
      </c>
      <c r="GP18" s="11" t="e">
        <f t="shared" si="64"/>
        <v>#DIV/0!</v>
      </c>
      <c r="GQ18" s="11" t="e">
        <f t="shared" si="64"/>
        <v>#DIV/0!</v>
      </c>
      <c r="GR18" s="11" t="e">
        <f t="shared" si="64"/>
        <v>#DIV/0!</v>
      </c>
      <c r="GS18" s="11" t="e">
        <f t="shared" si="64"/>
        <v>#DIV/0!</v>
      </c>
      <c r="GT18" s="11" t="e">
        <f t="shared" si="64"/>
        <v>#DIV/0!</v>
      </c>
      <c r="GU18" s="11" t="e">
        <f t="shared" si="64"/>
        <v>#DIV/0!</v>
      </c>
      <c r="GV18" s="11" t="e">
        <f t="shared" si="64"/>
        <v>#DIV/0!</v>
      </c>
      <c r="GW18" s="11" t="e">
        <f t="shared" si="64"/>
        <v>#DIV/0!</v>
      </c>
      <c r="GX18" s="11" t="e">
        <f t="shared" si="64"/>
        <v>#DIV/0!</v>
      </c>
      <c r="GY18" s="11" t="e">
        <f t="shared" si="64"/>
        <v>#DIV/0!</v>
      </c>
      <c r="GZ18" s="11" t="e">
        <f t="shared" si="64"/>
        <v>#DIV/0!</v>
      </c>
      <c r="HA18" s="11" t="e">
        <f t="shared" si="64"/>
        <v>#DIV/0!</v>
      </c>
      <c r="HB18" s="11" t="e">
        <f t="shared" si="64"/>
        <v>#DIV/0!</v>
      </c>
      <c r="HC18" s="11" t="e">
        <f t="shared" si="64"/>
        <v>#DIV/0!</v>
      </c>
      <c r="HD18" s="11" t="e">
        <f t="shared" si="64"/>
        <v>#DIV/0!</v>
      </c>
      <c r="HE18" s="11" t="e">
        <f t="shared" si="64"/>
        <v>#DIV/0!</v>
      </c>
      <c r="HF18" s="11" t="e">
        <f t="shared" si="64"/>
        <v>#DIV/0!</v>
      </c>
      <c r="HG18" s="11" t="e">
        <f t="shared" si="64"/>
        <v>#DIV/0!</v>
      </c>
      <c r="HH18" s="11" t="e">
        <f t="shared" si="64"/>
        <v>#DIV/0!</v>
      </c>
      <c r="HI18" s="11" t="e">
        <f t="shared" ref="HI18:JT18" si="65">1-HI14</f>
        <v>#DIV/0!</v>
      </c>
      <c r="HJ18" s="11" t="e">
        <f t="shared" si="65"/>
        <v>#DIV/0!</v>
      </c>
      <c r="HK18" s="11" t="e">
        <f t="shared" si="65"/>
        <v>#DIV/0!</v>
      </c>
      <c r="HL18" s="11" t="e">
        <f t="shared" si="65"/>
        <v>#DIV/0!</v>
      </c>
      <c r="HM18" s="11" t="e">
        <f t="shared" si="65"/>
        <v>#DIV/0!</v>
      </c>
      <c r="HN18" s="11" t="e">
        <f t="shared" si="65"/>
        <v>#DIV/0!</v>
      </c>
      <c r="HO18" s="11" t="e">
        <f t="shared" si="65"/>
        <v>#DIV/0!</v>
      </c>
      <c r="HP18" s="11" t="e">
        <f t="shared" si="65"/>
        <v>#DIV/0!</v>
      </c>
      <c r="HQ18" s="11" t="e">
        <f t="shared" si="65"/>
        <v>#DIV/0!</v>
      </c>
      <c r="HR18" s="11" t="e">
        <f t="shared" si="65"/>
        <v>#DIV/0!</v>
      </c>
      <c r="HS18" s="11" t="e">
        <f t="shared" si="65"/>
        <v>#DIV/0!</v>
      </c>
      <c r="HT18" s="11" t="e">
        <f t="shared" si="65"/>
        <v>#DIV/0!</v>
      </c>
      <c r="HU18" s="11" t="e">
        <f t="shared" si="65"/>
        <v>#DIV/0!</v>
      </c>
      <c r="HV18" s="11" t="e">
        <f t="shared" si="65"/>
        <v>#DIV/0!</v>
      </c>
      <c r="HW18" s="11" t="e">
        <f t="shared" si="65"/>
        <v>#DIV/0!</v>
      </c>
      <c r="HX18" s="11" t="e">
        <f t="shared" si="65"/>
        <v>#DIV/0!</v>
      </c>
      <c r="HY18" s="11" t="e">
        <f t="shared" si="65"/>
        <v>#DIV/0!</v>
      </c>
      <c r="HZ18" s="11" t="e">
        <f t="shared" si="65"/>
        <v>#DIV/0!</v>
      </c>
      <c r="IA18" s="11" t="e">
        <f t="shared" si="65"/>
        <v>#DIV/0!</v>
      </c>
      <c r="IB18" s="11" t="e">
        <f t="shared" si="65"/>
        <v>#DIV/0!</v>
      </c>
      <c r="IC18" s="11" t="e">
        <f t="shared" si="65"/>
        <v>#DIV/0!</v>
      </c>
      <c r="ID18" s="11" t="e">
        <f t="shared" si="65"/>
        <v>#DIV/0!</v>
      </c>
      <c r="IE18" s="11" t="e">
        <f t="shared" si="65"/>
        <v>#DIV/0!</v>
      </c>
      <c r="IF18" s="11" t="e">
        <f t="shared" si="65"/>
        <v>#DIV/0!</v>
      </c>
      <c r="IG18" s="11" t="e">
        <f t="shared" si="65"/>
        <v>#DIV/0!</v>
      </c>
      <c r="IH18" s="11" t="e">
        <f t="shared" si="65"/>
        <v>#DIV/0!</v>
      </c>
      <c r="II18" s="11" t="e">
        <f t="shared" si="65"/>
        <v>#DIV/0!</v>
      </c>
      <c r="IJ18" s="11" t="e">
        <f t="shared" si="65"/>
        <v>#DIV/0!</v>
      </c>
      <c r="IK18" s="11" t="e">
        <f t="shared" si="65"/>
        <v>#DIV/0!</v>
      </c>
      <c r="IL18" s="11" t="e">
        <f t="shared" si="65"/>
        <v>#DIV/0!</v>
      </c>
      <c r="IM18" s="11" t="e">
        <f t="shared" si="65"/>
        <v>#DIV/0!</v>
      </c>
      <c r="IN18" s="11" t="e">
        <f t="shared" si="65"/>
        <v>#DIV/0!</v>
      </c>
      <c r="IO18" s="11" t="e">
        <f t="shared" si="65"/>
        <v>#DIV/0!</v>
      </c>
      <c r="IP18" s="11" t="e">
        <f t="shared" si="65"/>
        <v>#DIV/0!</v>
      </c>
      <c r="IQ18" s="11" t="e">
        <f t="shared" si="65"/>
        <v>#DIV/0!</v>
      </c>
      <c r="IR18" s="11" t="e">
        <f t="shared" si="65"/>
        <v>#DIV/0!</v>
      </c>
      <c r="IS18" s="11" t="e">
        <f t="shared" si="65"/>
        <v>#DIV/0!</v>
      </c>
      <c r="IT18" s="11" t="e">
        <f t="shared" si="65"/>
        <v>#DIV/0!</v>
      </c>
      <c r="IU18" s="11" t="e">
        <f t="shared" si="65"/>
        <v>#DIV/0!</v>
      </c>
      <c r="IV18" s="11" t="e">
        <f t="shared" si="65"/>
        <v>#DIV/0!</v>
      </c>
      <c r="IW18" s="11" t="e">
        <f t="shared" si="65"/>
        <v>#DIV/0!</v>
      </c>
      <c r="IX18" s="11" t="e">
        <f t="shared" si="65"/>
        <v>#DIV/0!</v>
      </c>
      <c r="IY18" s="11" t="e">
        <f t="shared" si="65"/>
        <v>#DIV/0!</v>
      </c>
      <c r="IZ18" s="11" t="e">
        <f t="shared" si="65"/>
        <v>#DIV/0!</v>
      </c>
      <c r="JA18" s="11" t="e">
        <f t="shared" si="65"/>
        <v>#DIV/0!</v>
      </c>
      <c r="JB18" s="11" t="e">
        <f t="shared" si="65"/>
        <v>#DIV/0!</v>
      </c>
      <c r="JC18" s="11" t="e">
        <f t="shared" si="65"/>
        <v>#DIV/0!</v>
      </c>
      <c r="JD18" s="11" t="e">
        <f t="shared" si="65"/>
        <v>#DIV/0!</v>
      </c>
      <c r="JE18" s="11" t="e">
        <f t="shared" si="65"/>
        <v>#DIV/0!</v>
      </c>
      <c r="JF18" s="11" t="e">
        <f t="shared" si="65"/>
        <v>#DIV/0!</v>
      </c>
      <c r="JG18" s="11" t="e">
        <f t="shared" si="65"/>
        <v>#DIV/0!</v>
      </c>
      <c r="JH18" s="11" t="e">
        <f t="shared" si="65"/>
        <v>#DIV/0!</v>
      </c>
      <c r="JI18" s="11" t="e">
        <f t="shared" si="65"/>
        <v>#DIV/0!</v>
      </c>
      <c r="JJ18" s="11" t="e">
        <f t="shared" si="65"/>
        <v>#DIV/0!</v>
      </c>
      <c r="JK18" s="11" t="e">
        <f t="shared" si="65"/>
        <v>#DIV/0!</v>
      </c>
      <c r="JL18" s="11" t="e">
        <f t="shared" si="65"/>
        <v>#DIV/0!</v>
      </c>
      <c r="JM18" s="11" t="e">
        <f t="shared" si="65"/>
        <v>#DIV/0!</v>
      </c>
      <c r="JN18" s="11" t="e">
        <f t="shared" si="65"/>
        <v>#DIV/0!</v>
      </c>
      <c r="JO18" s="11" t="e">
        <f t="shared" si="65"/>
        <v>#DIV/0!</v>
      </c>
      <c r="JP18" s="11" t="e">
        <f t="shared" si="65"/>
        <v>#DIV/0!</v>
      </c>
      <c r="JQ18" s="11" t="e">
        <f t="shared" si="65"/>
        <v>#DIV/0!</v>
      </c>
      <c r="JR18" s="11" t="e">
        <f t="shared" si="65"/>
        <v>#DIV/0!</v>
      </c>
      <c r="JS18" s="11" t="e">
        <f t="shared" si="65"/>
        <v>#DIV/0!</v>
      </c>
      <c r="JT18" s="11" t="e">
        <f t="shared" si="65"/>
        <v>#DIV/0!</v>
      </c>
      <c r="JU18" s="11" t="e">
        <f t="shared" ref="JU18:MF18" si="66">1-JU14</f>
        <v>#DIV/0!</v>
      </c>
      <c r="JV18" s="11" t="e">
        <f t="shared" si="66"/>
        <v>#DIV/0!</v>
      </c>
      <c r="JW18" s="11" t="e">
        <f t="shared" si="66"/>
        <v>#DIV/0!</v>
      </c>
      <c r="JX18" s="11" t="e">
        <f t="shared" si="66"/>
        <v>#DIV/0!</v>
      </c>
      <c r="JY18" s="11" t="e">
        <f t="shared" si="66"/>
        <v>#DIV/0!</v>
      </c>
      <c r="JZ18" s="11" t="e">
        <f t="shared" si="66"/>
        <v>#DIV/0!</v>
      </c>
      <c r="KA18" s="11" t="e">
        <f t="shared" si="66"/>
        <v>#DIV/0!</v>
      </c>
      <c r="KB18" s="11" t="e">
        <f t="shared" si="66"/>
        <v>#DIV/0!</v>
      </c>
      <c r="KC18" s="11" t="e">
        <f t="shared" si="66"/>
        <v>#DIV/0!</v>
      </c>
      <c r="KD18" s="11" t="e">
        <f t="shared" si="66"/>
        <v>#DIV/0!</v>
      </c>
      <c r="KE18" s="11" t="e">
        <f t="shared" si="66"/>
        <v>#DIV/0!</v>
      </c>
      <c r="KF18" s="11" t="e">
        <f t="shared" si="66"/>
        <v>#DIV/0!</v>
      </c>
      <c r="KG18" s="11" t="e">
        <f t="shared" si="66"/>
        <v>#DIV/0!</v>
      </c>
      <c r="KH18" s="11" t="e">
        <f t="shared" si="66"/>
        <v>#DIV/0!</v>
      </c>
      <c r="KI18" s="11" t="e">
        <f t="shared" si="66"/>
        <v>#DIV/0!</v>
      </c>
      <c r="KJ18" s="11" t="e">
        <f t="shared" si="66"/>
        <v>#DIV/0!</v>
      </c>
      <c r="KK18" s="11" t="e">
        <f t="shared" si="66"/>
        <v>#DIV/0!</v>
      </c>
      <c r="KL18" s="11" t="e">
        <f t="shared" si="66"/>
        <v>#DIV/0!</v>
      </c>
      <c r="KM18" s="11" t="e">
        <f t="shared" si="66"/>
        <v>#DIV/0!</v>
      </c>
      <c r="KN18" s="11" t="e">
        <f t="shared" si="66"/>
        <v>#DIV/0!</v>
      </c>
      <c r="KO18" s="11" t="e">
        <f t="shared" si="66"/>
        <v>#DIV/0!</v>
      </c>
      <c r="KP18" s="11" t="e">
        <f t="shared" si="66"/>
        <v>#DIV/0!</v>
      </c>
      <c r="KQ18" s="11" t="e">
        <f t="shared" si="66"/>
        <v>#DIV/0!</v>
      </c>
      <c r="KR18" s="11" t="e">
        <f t="shared" si="66"/>
        <v>#DIV/0!</v>
      </c>
      <c r="KS18" s="11" t="e">
        <f t="shared" si="66"/>
        <v>#DIV/0!</v>
      </c>
      <c r="KT18" s="11" t="e">
        <f t="shared" si="66"/>
        <v>#DIV/0!</v>
      </c>
      <c r="KU18" s="11" t="e">
        <f t="shared" si="66"/>
        <v>#DIV/0!</v>
      </c>
      <c r="KV18" s="11" t="e">
        <f t="shared" si="66"/>
        <v>#DIV/0!</v>
      </c>
      <c r="KW18" s="11" t="e">
        <f t="shared" si="66"/>
        <v>#DIV/0!</v>
      </c>
      <c r="KX18" s="11" t="e">
        <f t="shared" si="66"/>
        <v>#DIV/0!</v>
      </c>
      <c r="KY18" s="11" t="e">
        <f t="shared" si="66"/>
        <v>#DIV/0!</v>
      </c>
      <c r="KZ18" s="11" t="e">
        <f t="shared" si="66"/>
        <v>#DIV/0!</v>
      </c>
      <c r="LA18" s="11" t="e">
        <f t="shared" si="66"/>
        <v>#DIV/0!</v>
      </c>
      <c r="LB18" s="11" t="e">
        <f t="shared" si="66"/>
        <v>#DIV/0!</v>
      </c>
      <c r="LC18" s="11" t="e">
        <f t="shared" si="66"/>
        <v>#DIV/0!</v>
      </c>
      <c r="LD18" s="11" t="e">
        <f t="shared" si="66"/>
        <v>#DIV/0!</v>
      </c>
      <c r="LE18" s="11" t="e">
        <f t="shared" si="66"/>
        <v>#DIV/0!</v>
      </c>
      <c r="LF18" s="11" t="e">
        <f t="shared" si="66"/>
        <v>#DIV/0!</v>
      </c>
      <c r="LG18" s="11" t="e">
        <f t="shared" si="66"/>
        <v>#DIV/0!</v>
      </c>
      <c r="LH18" s="11" t="e">
        <f t="shared" si="66"/>
        <v>#DIV/0!</v>
      </c>
      <c r="LI18" s="11" t="e">
        <f t="shared" si="66"/>
        <v>#DIV/0!</v>
      </c>
      <c r="LJ18" s="11" t="e">
        <f t="shared" si="66"/>
        <v>#DIV/0!</v>
      </c>
      <c r="LK18" s="11" t="e">
        <f t="shared" si="66"/>
        <v>#DIV/0!</v>
      </c>
      <c r="LL18" s="11" t="e">
        <f t="shared" si="66"/>
        <v>#DIV/0!</v>
      </c>
      <c r="LM18" s="11" t="e">
        <f t="shared" si="66"/>
        <v>#DIV/0!</v>
      </c>
      <c r="LN18" s="11" t="e">
        <f t="shared" si="66"/>
        <v>#DIV/0!</v>
      </c>
      <c r="LO18" s="11" t="e">
        <f t="shared" si="66"/>
        <v>#DIV/0!</v>
      </c>
      <c r="LP18" s="11" t="e">
        <f t="shared" si="66"/>
        <v>#DIV/0!</v>
      </c>
      <c r="LQ18" s="11" t="e">
        <f t="shared" si="66"/>
        <v>#DIV/0!</v>
      </c>
      <c r="LR18" s="11" t="e">
        <f t="shared" si="66"/>
        <v>#DIV/0!</v>
      </c>
      <c r="LS18" s="11" t="e">
        <f t="shared" si="66"/>
        <v>#DIV/0!</v>
      </c>
      <c r="LT18" s="11" t="e">
        <f t="shared" si="66"/>
        <v>#DIV/0!</v>
      </c>
      <c r="LU18" s="11" t="e">
        <f t="shared" si="66"/>
        <v>#DIV/0!</v>
      </c>
      <c r="LV18" s="11" t="e">
        <f t="shared" si="66"/>
        <v>#DIV/0!</v>
      </c>
      <c r="LW18" s="11" t="e">
        <f t="shared" si="66"/>
        <v>#DIV/0!</v>
      </c>
      <c r="LX18" s="11" t="e">
        <f t="shared" si="66"/>
        <v>#DIV/0!</v>
      </c>
      <c r="LY18" s="11" t="e">
        <f t="shared" si="66"/>
        <v>#DIV/0!</v>
      </c>
      <c r="LZ18" s="11" t="e">
        <f t="shared" si="66"/>
        <v>#DIV/0!</v>
      </c>
      <c r="MA18" s="11" t="e">
        <f t="shared" si="66"/>
        <v>#DIV/0!</v>
      </c>
      <c r="MB18" s="11" t="e">
        <f t="shared" si="66"/>
        <v>#DIV/0!</v>
      </c>
      <c r="MC18" s="11" t="e">
        <f t="shared" si="66"/>
        <v>#DIV/0!</v>
      </c>
      <c r="MD18" s="11" t="e">
        <f t="shared" si="66"/>
        <v>#DIV/0!</v>
      </c>
      <c r="ME18" s="11" t="e">
        <f t="shared" si="66"/>
        <v>#DIV/0!</v>
      </c>
      <c r="MF18" s="11" t="e">
        <f t="shared" si="66"/>
        <v>#DIV/0!</v>
      </c>
      <c r="MG18" s="11" t="e">
        <f t="shared" ref="MG18:ND18" si="67">1-MG14</f>
        <v>#DIV/0!</v>
      </c>
      <c r="MH18" s="11" t="e">
        <f t="shared" si="67"/>
        <v>#DIV/0!</v>
      </c>
      <c r="MI18" s="11" t="e">
        <f t="shared" si="67"/>
        <v>#DIV/0!</v>
      </c>
      <c r="MJ18" s="11" t="e">
        <f t="shared" si="67"/>
        <v>#DIV/0!</v>
      </c>
      <c r="MK18" s="11" t="e">
        <f t="shared" si="67"/>
        <v>#DIV/0!</v>
      </c>
      <c r="ML18" s="11" t="e">
        <f t="shared" si="67"/>
        <v>#DIV/0!</v>
      </c>
      <c r="MM18" s="11" t="e">
        <f t="shared" si="67"/>
        <v>#DIV/0!</v>
      </c>
      <c r="MN18" s="11" t="e">
        <f t="shared" si="67"/>
        <v>#DIV/0!</v>
      </c>
      <c r="MO18" s="11" t="e">
        <f t="shared" si="67"/>
        <v>#DIV/0!</v>
      </c>
      <c r="MP18" s="11" t="e">
        <f t="shared" si="67"/>
        <v>#DIV/0!</v>
      </c>
      <c r="MQ18" s="11" t="e">
        <f t="shared" si="67"/>
        <v>#DIV/0!</v>
      </c>
      <c r="MR18" s="11" t="e">
        <f t="shared" si="67"/>
        <v>#DIV/0!</v>
      </c>
      <c r="MS18" s="11" t="e">
        <f t="shared" si="67"/>
        <v>#DIV/0!</v>
      </c>
      <c r="MT18" s="11" t="e">
        <f t="shared" si="67"/>
        <v>#DIV/0!</v>
      </c>
      <c r="MU18" s="11" t="e">
        <f t="shared" si="67"/>
        <v>#DIV/0!</v>
      </c>
      <c r="MV18" s="11" t="e">
        <f t="shared" si="67"/>
        <v>#DIV/0!</v>
      </c>
      <c r="MW18" s="11" t="e">
        <f t="shared" si="67"/>
        <v>#DIV/0!</v>
      </c>
      <c r="MX18" s="11" t="e">
        <f t="shared" si="67"/>
        <v>#DIV/0!</v>
      </c>
      <c r="MY18" s="11" t="e">
        <f t="shared" si="67"/>
        <v>#DIV/0!</v>
      </c>
      <c r="MZ18" s="11" t="e">
        <f t="shared" si="67"/>
        <v>#DIV/0!</v>
      </c>
      <c r="NA18" s="11" t="e">
        <f t="shared" si="67"/>
        <v>#DIV/0!</v>
      </c>
      <c r="NB18" s="11" t="e">
        <f t="shared" si="67"/>
        <v>#DIV/0!</v>
      </c>
      <c r="NC18" s="11" t="e">
        <f t="shared" si="67"/>
        <v>#DIV/0!</v>
      </c>
      <c r="ND18" s="11">
        <f t="shared" si="67"/>
        <v>0.79966887417218546</v>
      </c>
    </row>
    <row r="19" spans="1:368" x14ac:dyDescent="0.3">
      <c r="A19" s="9">
        <v>46066</v>
      </c>
      <c r="B19" s="2">
        <v>44</v>
      </c>
      <c r="C19" s="2">
        <v>136</v>
      </c>
      <c r="E19" s="2">
        <v>2</v>
      </c>
      <c r="F19" s="2">
        <v>4</v>
      </c>
      <c r="G19" s="2">
        <v>1</v>
      </c>
      <c r="H19" s="2">
        <v>180</v>
      </c>
      <c r="I19" s="2">
        <v>7</v>
      </c>
      <c r="N19" s="2" t="s">
        <v>27</v>
      </c>
      <c r="O19" s="2">
        <v>426</v>
      </c>
      <c r="P19"/>
      <c r="AG19"/>
      <c r="AJ19"/>
      <c r="AL19" s="48" t="s">
        <v>628</v>
      </c>
      <c r="AM19" s="12">
        <f>(AM23+AM24)/(AM22)</f>
        <v>0.5</v>
      </c>
      <c r="AN19" s="12">
        <f>(AN23+AN24)/(AN22)</f>
        <v>0.31578947368421051</v>
      </c>
      <c r="AO19" s="12">
        <f>(AO23+AO24)/(AO22)</f>
        <v>0.66666666666666663</v>
      </c>
      <c r="AP19" s="12">
        <f>(AP23+AP24)/(AP22)</f>
        <v>0.61904761904761907</v>
      </c>
      <c r="AQ19" s="12">
        <f>(AQ23+AQ24)/(AQ22)</f>
        <v>0.56000000000000005</v>
      </c>
      <c r="AR19" s="12">
        <f>(AR23+AR24)/(AR12)</f>
        <v>0.53333333333333333</v>
      </c>
      <c r="AS19" s="12">
        <f>(AS23+AS24)/(AS22)</f>
        <v>0.31428571428571428</v>
      </c>
      <c r="AT19" s="12">
        <f>(AT23+AT24)/(AT22)</f>
        <v>0.4</v>
      </c>
      <c r="AU19" s="12">
        <f>(AU23+AU24)/(AU22)</f>
        <v>0.29166666666666669</v>
      </c>
      <c r="AV19" s="12">
        <f>(AV23+AV24)/(AV22)</f>
        <v>0.25</v>
      </c>
      <c r="AW19" s="12">
        <f>(AW23+AW24)/(AW22)</f>
        <v>0.37777777777777777</v>
      </c>
      <c r="AX19" s="12">
        <f>(AX23+AX24)/(AX12)</f>
        <v>0.32663316582914576</v>
      </c>
      <c r="AY19" s="12">
        <f>(AY23+AY24)/(AY22)</f>
        <v>0.15</v>
      </c>
      <c r="AZ19" s="12">
        <f>(AZ23+AZ24)/(AZ22)</f>
        <v>0.1</v>
      </c>
      <c r="BA19" s="12">
        <f>(BA23+BA24)/(BA22)</f>
        <v>0.2</v>
      </c>
      <c r="BB19" s="12">
        <f>(BB23+BB24)/(BB22)</f>
        <v>0.18181818181818182</v>
      </c>
      <c r="BC19" s="12">
        <f>(BC23+BC24)/(BC22)</f>
        <v>0.28947368421052633</v>
      </c>
      <c r="BD19" s="12">
        <f>(BD23+BD24)/(BD12)</f>
        <v>0.18229166666666666</v>
      </c>
      <c r="BE19" s="12">
        <f>(BE23+BE24)/(BE22)</f>
        <v>0.3611111111111111</v>
      </c>
      <c r="BF19" s="12">
        <f>(BF23+BF24)/(BF22)</f>
        <v>0.33333333333333331</v>
      </c>
      <c r="BG19" s="12">
        <f>(BG23+BG24)/(BG22)</f>
        <v>0.44117647058823528</v>
      </c>
      <c r="BH19" s="12">
        <f>(BH23+BH24)/(BH22)</f>
        <v>0.16666666666666666</v>
      </c>
      <c r="BI19" s="12">
        <f>(BI23+BI24)/(BI22)</f>
        <v>0.17391304347826086</v>
      </c>
      <c r="BJ19" s="12">
        <f>(BJ23+BJ24)/(BJ12)</f>
        <v>0.28865979381443296</v>
      </c>
      <c r="BK19" s="12">
        <f>(BK23+BK24)/(BK12)</f>
        <v>0.31205673758865249</v>
      </c>
      <c r="BL19" s="12">
        <f>(BL23+BL24)/(BL22)</f>
        <v>0.18518518518518517</v>
      </c>
      <c r="BM19" s="12">
        <f>(BM23+BM24)/(BM22)</f>
        <v>0.25806451612903225</v>
      </c>
      <c r="BN19" s="12">
        <f>(BN23+BN24)/(BN22)</f>
        <v>0.38461538461538464</v>
      </c>
      <c r="BO19" s="12">
        <f>(BO23+BO24)/(BO22)</f>
        <v>0.27272727272727271</v>
      </c>
      <c r="BP19" s="12">
        <f>(BP23+BP24)/(BP22)</f>
        <v>0.23684210526315788</v>
      </c>
      <c r="BQ19" s="12">
        <f>(BQ23+BQ24)/(BQ12)</f>
        <v>0.26451612903225807</v>
      </c>
      <c r="BR19" s="12">
        <f t="shared" ref="BR19:CH19" si="68">(BR23+BR24)/(BR22)</f>
        <v>0.41666666666666669</v>
      </c>
      <c r="BS19" s="12">
        <f t="shared" si="68"/>
        <v>0.90909090909090906</v>
      </c>
      <c r="BT19" s="12">
        <f t="shared" si="68"/>
        <v>0.26470588235294118</v>
      </c>
      <c r="BU19" s="12">
        <f t="shared" si="68"/>
        <v>0.27586206896551724</v>
      </c>
      <c r="BV19" s="12">
        <f t="shared" si="68"/>
        <v>0.15909090909090909</v>
      </c>
      <c r="BW19" s="12">
        <f>(BW23+BW24)/(BW12)</f>
        <v>0.30985915492957744</v>
      </c>
      <c r="BX19" s="12">
        <f t="shared" si="68"/>
        <v>0.26829268292682928</v>
      </c>
      <c r="BY19" s="12">
        <f t="shared" si="68"/>
        <v>0.41176470588235292</v>
      </c>
      <c r="BZ19" s="12">
        <f t="shared" si="68"/>
        <v>0.29268292682926828</v>
      </c>
      <c r="CA19" s="12">
        <f t="shared" si="68"/>
        <v>0.23404255319148937</v>
      </c>
      <c r="CB19" s="12">
        <f t="shared" si="68"/>
        <v>0.2558139534883721</v>
      </c>
      <c r="CC19" s="12">
        <f>(CC23+CC24)/(CC12)</f>
        <v>0.28640776699029125</v>
      </c>
      <c r="CD19" s="12" t="e">
        <f t="shared" si="68"/>
        <v>#DIV/0!</v>
      </c>
      <c r="CE19" s="12" t="e">
        <f t="shared" si="68"/>
        <v>#DIV/0!</v>
      </c>
      <c r="CF19" s="12" t="e">
        <f t="shared" si="68"/>
        <v>#DIV/0!</v>
      </c>
      <c r="CG19" s="12" t="e">
        <f t="shared" si="68"/>
        <v>#DIV/0!</v>
      </c>
      <c r="CH19" s="12" t="e">
        <f t="shared" si="68"/>
        <v>#DIV/0!</v>
      </c>
      <c r="CI19" s="12" t="e">
        <f>(CI23+CI24)/(CI12)</f>
        <v>#DIV/0!</v>
      </c>
      <c r="CJ19" s="12">
        <f>(CJ23+CJ24)/(CJ12)</f>
        <v>0.28628230616302186</v>
      </c>
      <c r="CK19" s="12" t="e">
        <f t="shared" ref="CK19:EV19" si="69">(CK23+CK24)/(CK22)</f>
        <v>#DIV/0!</v>
      </c>
      <c r="CL19" s="12" t="e">
        <f t="shared" si="69"/>
        <v>#DIV/0!</v>
      </c>
      <c r="CM19" s="12" t="e">
        <f t="shared" si="69"/>
        <v>#DIV/0!</v>
      </c>
      <c r="CN19" s="12" t="e">
        <f t="shared" si="69"/>
        <v>#DIV/0!</v>
      </c>
      <c r="CO19" s="12" t="e">
        <f t="shared" si="69"/>
        <v>#DIV/0!</v>
      </c>
      <c r="CP19" s="12" t="e">
        <f t="shared" si="69"/>
        <v>#DIV/0!</v>
      </c>
      <c r="CQ19" s="12" t="e">
        <f t="shared" si="69"/>
        <v>#DIV/0!</v>
      </c>
      <c r="CR19" s="12" t="e">
        <f t="shared" si="69"/>
        <v>#DIV/0!</v>
      </c>
      <c r="CS19" s="12" t="e">
        <f t="shared" si="69"/>
        <v>#DIV/0!</v>
      </c>
      <c r="CT19" s="12" t="e">
        <f t="shared" si="69"/>
        <v>#DIV/0!</v>
      </c>
      <c r="CU19" s="12" t="e">
        <f t="shared" si="69"/>
        <v>#DIV/0!</v>
      </c>
      <c r="CV19" s="12" t="e">
        <f t="shared" si="69"/>
        <v>#DIV/0!</v>
      </c>
      <c r="CW19" s="12" t="e">
        <f t="shared" si="69"/>
        <v>#DIV/0!</v>
      </c>
      <c r="CX19" s="12" t="e">
        <f t="shared" si="69"/>
        <v>#DIV/0!</v>
      </c>
      <c r="CY19" s="12" t="e">
        <f t="shared" si="69"/>
        <v>#DIV/0!</v>
      </c>
      <c r="CZ19" s="12" t="e">
        <f t="shared" si="69"/>
        <v>#DIV/0!</v>
      </c>
      <c r="DA19" s="12" t="e">
        <f t="shared" si="69"/>
        <v>#DIV/0!</v>
      </c>
      <c r="DB19" s="12" t="e">
        <f t="shared" si="69"/>
        <v>#DIV/0!</v>
      </c>
      <c r="DC19" s="12" t="e">
        <f t="shared" si="69"/>
        <v>#DIV/0!</v>
      </c>
      <c r="DD19" s="12" t="e">
        <f t="shared" si="69"/>
        <v>#DIV/0!</v>
      </c>
      <c r="DE19" s="12" t="e">
        <f t="shared" si="69"/>
        <v>#DIV/0!</v>
      </c>
      <c r="DF19" s="12" t="e">
        <f t="shared" si="69"/>
        <v>#DIV/0!</v>
      </c>
      <c r="DG19" s="12" t="e">
        <f t="shared" si="69"/>
        <v>#DIV/0!</v>
      </c>
      <c r="DH19" s="12" t="e">
        <f t="shared" si="69"/>
        <v>#DIV/0!</v>
      </c>
      <c r="DI19" s="12" t="e">
        <f t="shared" si="69"/>
        <v>#DIV/0!</v>
      </c>
      <c r="DJ19" s="12" t="e">
        <f t="shared" si="69"/>
        <v>#DIV/0!</v>
      </c>
      <c r="DK19" s="12" t="e">
        <f t="shared" si="69"/>
        <v>#DIV/0!</v>
      </c>
      <c r="DL19" s="12" t="e">
        <f t="shared" si="69"/>
        <v>#DIV/0!</v>
      </c>
      <c r="DM19" s="12" t="e">
        <f t="shared" si="69"/>
        <v>#DIV/0!</v>
      </c>
      <c r="DN19" s="12" t="e">
        <f t="shared" si="69"/>
        <v>#DIV/0!</v>
      </c>
      <c r="DO19" s="12" t="e">
        <f t="shared" si="69"/>
        <v>#DIV/0!</v>
      </c>
      <c r="DP19" s="12" t="e">
        <f t="shared" si="69"/>
        <v>#DIV/0!</v>
      </c>
      <c r="DQ19" s="12" t="e">
        <f t="shared" si="69"/>
        <v>#DIV/0!</v>
      </c>
      <c r="DR19" s="12" t="e">
        <f t="shared" si="69"/>
        <v>#DIV/0!</v>
      </c>
      <c r="DS19" s="12" t="e">
        <f t="shared" si="69"/>
        <v>#DIV/0!</v>
      </c>
      <c r="DT19" s="12" t="e">
        <f t="shared" si="69"/>
        <v>#DIV/0!</v>
      </c>
      <c r="DU19" s="12" t="e">
        <f t="shared" si="69"/>
        <v>#DIV/0!</v>
      </c>
      <c r="DV19" s="12" t="e">
        <f t="shared" si="69"/>
        <v>#DIV/0!</v>
      </c>
      <c r="DW19" s="12" t="e">
        <f t="shared" si="69"/>
        <v>#DIV/0!</v>
      </c>
      <c r="DX19" s="12" t="e">
        <f t="shared" si="69"/>
        <v>#DIV/0!</v>
      </c>
      <c r="DY19" s="12" t="e">
        <f t="shared" si="69"/>
        <v>#DIV/0!</v>
      </c>
      <c r="DZ19" s="12" t="e">
        <f t="shared" si="69"/>
        <v>#DIV/0!</v>
      </c>
      <c r="EA19" s="12" t="e">
        <f t="shared" si="69"/>
        <v>#DIV/0!</v>
      </c>
      <c r="EB19" s="12" t="e">
        <f t="shared" si="69"/>
        <v>#DIV/0!</v>
      </c>
      <c r="EC19" s="12" t="e">
        <f t="shared" si="69"/>
        <v>#DIV/0!</v>
      </c>
      <c r="ED19" s="12" t="e">
        <f t="shared" si="69"/>
        <v>#DIV/0!</v>
      </c>
      <c r="EE19" s="12" t="e">
        <f t="shared" si="69"/>
        <v>#DIV/0!</v>
      </c>
      <c r="EF19" s="12" t="e">
        <f t="shared" si="69"/>
        <v>#DIV/0!</v>
      </c>
      <c r="EG19" s="12" t="e">
        <f t="shared" si="69"/>
        <v>#DIV/0!</v>
      </c>
      <c r="EH19" s="12" t="e">
        <f t="shared" si="69"/>
        <v>#DIV/0!</v>
      </c>
      <c r="EI19" s="12" t="e">
        <f t="shared" si="69"/>
        <v>#DIV/0!</v>
      </c>
      <c r="EJ19" s="12" t="e">
        <f t="shared" si="69"/>
        <v>#DIV/0!</v>
      </c>
      <c r="EK19" s="12" t="e">
        <f t="shared" si="69"/>
        <v>#DIV/0!</v>
      </c>
      <c r="EL19" s="12" t="e">
        <f t="shared" si="69"/>
        <v>#DIV/0!</v>
      </c>
      <c r="EM19" s="12" t="e">
        <f t="shared" si="69"/>
        <v>#DIV/0!</v>
      </c>
      <c r="EN19" s="12" t="e">
        <f t="shared" si="69"/>
        <v>#DIV/0!</v>
      </c>
      <c r="EO19" s="12" t="e">
        <f t="shared" si="69"/>
        <v>#DIV/0!</v>
      </c>
      <c r="EP19" s="12" t="e">
        <f t="shared" si="69"/>
        <v>#DIV/0!</v>
      </c>
      <c r="EQ19" s="12" t="e">
        <f t="shared" si="69"/>
        <v>#DIV/0!</v>
      </c>
      <c r="ER19" s="12" t="e">
        <f t="shared" si="69"/>
        <v>#DIV/0!</v>
      </c>
      <c r="ES19" s="12" t="e">
        <f t="shared" si="69"/>
        <v>#DIV/0!</v>
      </c>
      <c r="ET19" s="12" t="e">
        <f t="shared" si="69"/>
        <v>#DIV/0!</v>
      </c>
      <c r="EU19" s="12" t="e">
        <f t="shared" si="69"/>
        <v>#DIV/0!</v>
      </c>
      <c r="EV19" s="12" t="e">
        <f t="shared" si="69"/>
        <v>#DIV/0!</v>
      </c>
      <c r="EW19" s="12" t="e">
        <f t="shared" ref="EW19:HH19" si="70">(EW23+EW24)/(EW22)</f>
        <v>#DIV/0!</v>
      </c>
      <c r="EX19" s="12" t="e">
        <f t="shared" si="70"/>
        <v>#DIV/0!</v>
      </c>
      <c r="EY19" s="12" t="e">
        <f t="shared" si="70"/>
        <v>#DIV/0!</v>
      </c>
      <c r="EZ19" s="12" t="e">
        <f t="shared" si="70"/>
        <v>#DIV/0!</v>
      </c>
      <c r="FA19" s="12" t="e">
        <f t="shared" si="70"/>
        <v>#DIV/0!</v>
      </c>
      <c r="FB19" s="12" t="e">
        <f t="shared" si="70"/>
        <v>#DIV/0!</v>
      </c>
      <c r="FC19" s="12" t="e">
        <f t="shared" si="70"/>
        <v>#DIV/0!</v>
      </c>
      <c r="FD19" s="12" t="e">
        <f t="shared" si="70"/>
        <v>#DIV/0!</v>
      </c>
      <c r="FE19" s="12" t="e">
        <f t="shared" si="70"/>
        <v>#DIV/0!</v>
      </c>
      <c r="FF19" s="12" t="e">
        <f t="shared" si="70"/>
        <v>#DIV/0!</v>
      </c>
      <c r="FG19" s="12" t="e">
        <f t="shared" si="70"/>
        <v>#DIV/0!</v>
      </c>
      <c r="FH19" s="12" t="e">
        <f t="shared" si="70"/>
        <v>#DIV/0!</v>
      </c>
      <c r="FI19" s="12" t="e">
        <f t="shared" si="70"/>
        <v>#DIV/0!</v>
      </c>
      <c r="FJ19" s="12" t="e">
        <f t="shared" si="70"/>
        <v>#DIV/0!</v>
      </c>
      <c r="FK19" s="12" t="e">
        <f t="shared" si="70"/>
        <v>#DIV/0!</v>
      </c>
      <c r="FL19" s="12" t="e">
        <f t="shared" si="70"/>
        <v>#DIV/0!</v>
      </c>
      <c r="FM19" s="12" t="e">
        <f t="shared" si="70"/>
        <v>#DIV/0!</v>
      </c>
      <c r="FN19" s="12" t="e">
        <f t="shared" si="70"/>
        <v>#DIV/0!</v>
      </c>
      <c r="FO19" s="12" t="e">
        <f t="shared" si="70"/>
        <v>#DIV/0!</v>
      </c>
      <c r="FP19" s="12" t="e">
        <f t="shared" si="70"/>
        <v>#DIV/0!</v>
      </c>
      <c r="FQ19" s="12" t="e">
        <f t="shared" si="70"/>
        <v>#DIV/0!</v>
      </c>
      <c r="FR19" s="12" t="e">
        <f t="shared" si="70"/>
        <v>#DIV/0!</v>
      </c>
      <c r="FS19" s="12" t="e">
        <f t="shared" si="70"/>
        <v>#DIV/0!</v>
      </c>
      <c r="FT19" s="12" t="e">
        <f t="shared" si="70"/>
        <v>#DIV/0!</v>
      </c>
      <c r="FU19" s="12" t="e">
        <f t="shared" si="70"/>
        <v>#DIV/0!</v>
      </c>
      <c r="FV19" s="12" t="e">
        <f t="shared" si="70"/>
        <v>#DIV/0!</v>
      </c>
      <c r="FW19" s="12" t="e">
        <f t="shared" si="70"/>
        <v>#DIV/0!</v>
      </c>
      <c r="FX19" s="12" t="e">
        <f t="shared" si="70"/>
        <v>#DIV/0!</v>
      </c>
      <c r="FY19" s="12" t="e">
        <f t="shared" si="70"/>
        <v>#DIV/0!</v>
      </c>
      <c r="FZ19" s="12" t="e">
        <f t="shared" si="70"/>
        <v>#DIV/0!</v>
      </c>
      <c r="GA19" s="12" t="e">
        <f t="shared" si="70"/>
        <v>#DIV/0!</v>
      </c>
      <c r="GB19" s="12" t="e">
        <f t="shared" si="70"/>
        <v>#DIV/0!</v>
      </c>
      <c r="GC19" s="12" t="e">
        <f t="shared" si="70"/>
        <v>#DIV/0!</v>
      </c>
      <c r="GD19" s="12" t="e">
        <f t="shared" si="70"/>
        <v>#DIV/0!</v>
      </c>
      <c r="GE19" s="12" t="e">
        <f t="shared" si="70"/>
        <v>#DIV/0!</v>
      </c>
      <c r="GF19" s="12" t="e">
        <f t="shared" si="70"/>
        <v>#DIV/0!</v>
      </c>
      <c r="GG19" s="12" t="e">
        <f t="shared" si="70"/>
        <v>#DIV/0!</v>
      </c>
      <c r="GH19" s="12" t="e">
        <f t="shared" si="70"/>
        <v>#DIV/0!</v>
      </c>
      <c r="GI19" s="12" t="e">
        <f t="shared" si="70"/>
        <v>#DIV/0!</v>
      </c>
      <c r="GJ19" s="12" t="e">
        <f t="shared" si="70"/>
        <v>#DIV/0!</v>
      </c>
      <c r="GK19" s="12" t="e">
        <f t="shared" si="70"/>
        <v>#DIV/0!</v>
      </c>
      <c r="GL19" s="12" t="e">
        <f t="shared" si="70"/>
        <v>#DIV/0!</v>
      </c>
      <c r="GM19" s="12" t="e">
        <f t="shared" si="70"/>
        <v>#DIV/0!</v>
      </c>
      <c r="GN19" s="12" t="e">
        <f t="shared" si="70"/>
        <v>#DIV/0!</v>
      </c>
      <c r="GO19" s="12" t="e">
        <f t="shared" si="70"/>
        <v>#DIV/0!</v>
      </c>
      <c r="GP19" s="12" t="e">
        <f t="shared" si="70"/>
        <v>#DIV/0!</v>
      </c>
      <c r="GQ19" s="12" t="e">
        <f t="shared" si="70"/>
        <v>#DIV/0!</v>
      </c>
      <c r="GR19" s="12" t="e">
        <f t="shared" si="70"/>
        <v>#DIV/0!</v>
      </c>
      <c r="GS19" s="12" t="e">
        <f t="shared" si="70"/>
        <v>#DIV/0!</v>
      </c>
      <c r="GT19" s="12" t="e">
        <f t="shared" si="70"/>
        <v>#DIV/0!</v>
      </c>
      <c r="GU19" s="12" t="e">
        <f t="shared" si="70"/>
        <v>#DIV/0!</v>
      </c>
      <c r="GV19" s="12" t="e">
        <f t="shared" si="70"/>
        <v>#DIV/0!</v>
      </c>
      <c r="GW19" s="12" t="e">
        <f t="shared" si="70"/>
        <v>#DIV/0!</v>
      </c>
      <c r="GX19" s="12" t="e">
        <f t="shared" si="70"/>
        <v>#DIV/0!</v>
      </c>
      <c r="GY19" s="12" t="e">
        <f t="shared" si="70"/>
        <v>#DIV/0!</v>
      </c>
      <c r="GZ19" s="12" t="e">
        <f t="shared" si="70"/>
        <v>#DIV/0!</v>
      </c>
      <c r="HA19" s="12" t="e">
        <f t="shared" si="70"/>
        <v>#DIV/0!</v>
      </c>
      <c r="HB19" s="12" t="e">
        <f t="shared" si="70"/>
        <v>#DIV/0!</v>
      </c>
      <c r="HC19" s="12" t="e">
        <f t="shared" si="70"/>
        <v>#DIV/0!</v>
      </c>
      <c r="HD19" s="12" t="e">
        <f t="shared" si="70"/>
        <v>#DIV/0!</v>
      </c>
      <c r="HE19" s="12" t="e">
        <f t="shared" si="70"/>
        <v>#DIV/0!</v>
      </c>
      <c r="HF19" s="12" t="e">
        <f t="shared" si="70"/>
        <v>#DIV/0!</v>
      </c>
      <c r="HG19" s="12" t="e">
        <f t="shared" si="70"/>
        <v>#DIV/0!</v>
      </c>
      <c r="HH19" s="12" t="e">
        <f t="shared" si="70"/>
        <v>#DIV/0!</v>
      </c>
      <c r="HI19" s="12" t="e">
        <f t="shared" ref="HI19:JT19" si="71">(HI23+HI24)/(HI22)</f>
        <v>#DIV/0!</v>
      </c>
      <c r="HJ19" s="12" t="e">
        <f t="shared" si="71"/>
        <v>#DIV/0!</v>
      </c>
      <c r="HK19" s="12" t="e">
        <f t="shared" si="71"/>
        <v>#DIV/0!</v>
      </c>
      <c r="HL19" s="12" t="e">
        <f t="shared" si="71"/>
        <v>#DIV/0!</v>
      </c>
      <c r="HM19" s="12" t="e">
        <f t="shared" si="71"/>
        <v>#DIV/0!</v>
      </c>
      <c r="HN19" s="12" t="e">
        <f t="shared" si="71"/>
        <v>#DIV/0!</v>
      </c>
      <c r="HO19" s="12" t="e">
        <f t="shared" si="71"/>
        <v>#DIV/0!</v>
      </c>
      <c r="HP19" s="12" t="e">
        <f t="shared" si="71"/>
        <v>#DIV/0!</v>
      </c>
      <c r="HQ19" s="12" t="e">
        <f t="shared" si="71"/>
        <v>#DIV/0!</v>
      </c>
      <c r="HR19" s="12" t="e">
        <f t="shared" si="71"/>
        <v>#DIV/0!</v>
      </c>
      <c r="HS19" s="12" t="e">
        <f t="shared" si="71"/>
        <v>#DIV/0!</v>
      </c>
      <c r="HT19" s="12" t="e">
        <f t="shared" si="71"/>
        <v>#DIV/0!</v>
      </c>
      <c r="HU19" s="12" t="e">
        <f t="shared" si="71"/>
        <v>#DIV/0!</v>
      </c>
      <c r="HV19" s="12" t="e">
        <f t="shared" si="71"/>
        <v>#DIV/0!</v>
      </c>
      <c r="HW19" s="12" t="e">
        <f t="shared" si="71"/>
        <v>#DIV/0!</v>
      </c>
      <c r="HX19" s="12" t="e">
        <f t="shared" si="71"/>
        <v>#DIV/0!</v>
      </c>
      <c r="HY19" s="12" t="e">
        <f t="shared" si="71"/>
        <v>#DIV/0!</v>
      </c>
      <c r="HZ19" s="12" t="e">
        <f t="shared" si="71"/>
        <v>#DIV/0!</v>
      </c>
      <c r="IA19" s="12" t="e">
        <f t="shared" si="71"/>
        <v>#DIV/0!</v>
      </c>
      <c r="IB19" s="12" t="e">
        <f t="shared" si="71"/>
        <v>#DIV/0!</v>
      </c>
      <c r="IC19" s="12" t="e">
        <f t="shared" si="71"/>
        <v>#DIV/0!</v>
      </c>
      <c r="ID19" s="12" t="e">
        <f t="shared" si="71"/>
        <v>#DIV/0!</v>
      </c>
      <c r="IE19" s="12" t="e">
        <f t="shared" si="71"/>
        <v>#DIV/0!</v>
      </c>
      <c r="IF19" s="12" t="e">
        <f t="shared" si="71"/>
        <v>#DIV/0!</v>
      </c>
      <c r="IG19" s="12" t="e">
        <f t="shared" si="71"/>
        <v>#DIV/0!</v>
      </c>
      <c r="IH19" s="12" t="e">
        <f t="shared" si="71"/>
        <v>#DIV/0!</v>
      </c>
      <c r="II19" s="12" t="e">
        <f t="shared" si="71"/>
        <v>#DIV/0!</v>
      </c>
      <c r="IJ19" s="12" t="e">
        <f t="shared" si="71"/>
        <v>#DIV/0!</v>
      </c>
      <c r="IK19" s="12" t="e">
        <f t="shared" si="71"/>
        <v>#DIV/0!</v>
      </c>
      <c r="IL19" s="12" t="e">
        <f t="shared" si="71"/>
        <v>#DIV/0!</v>
      </c>
      <c r="IM19" s="12" t="e">
        <f t="shared" si="71"/>
        <v>#DIV/0!</v>
      </c>
      <c r="IN19" s="12" t="e">
        <f t="shared" si="71"/>
        <v>#DIV/0!</v>
      </c>
      <c r="IO19" s="12" t="e">
        <f t="shared" si="71"/>
        <v>#DIV/0!</v>
      </c>
      <c r="IP19" s="12" t="e">
        <f t="shared" si="71"/>
        <v>#DIV/0!</v>
      </c>
      <c r="IQ19" s="12" t="e">
        <f t="shared" si="71"/>
        <v>#DIV/0!</v>
      </c>
      <c r="IR19" s="12" t="e">
        <f t="shared" si="71"/>
        <v>#DIV/0!</v>
      </c>
      <c r="IS19" s="12" t="e">
        <f t="shared" si="71"/>
        <v>#DIV/0!</v>
      </c>
      <c r="IT19" s="12" t="e">
        <f t="shared" si="71"/>
        <v>#DIV/0!</v>
      </c>
      <c r="IU19" s="12" t="e">
        <f t="shared" si="71"/>
        <v>#DIV/0!</v>
      </c>
      <c r="IV19" s="12" t="e">
        <f t="shared" si="71"/>
        <v>#DIV/0!</v>
      </c>
      <c r="IW19" s="12" t="e">
        <f t="shared" si="71"/>
        <v>#DIV/0!</v>
      </c>
      <c r="IX19" s="12" t="e">
        <f t="shared" si="71"/>
        <v>#DIV/0!</v>
      </c>
      <c r="IY19" s="12" t="e">
        <f t="shared" si="71"/>
        <v>#DIV/0!</v>
      </c>
      <c r="IZ19" s="12" t="e">
        <f t="shared" si="71"/>
        <v>#DIV/0!</v>
      </c>
      <c r="JA19" s="12" t="e">
        <f t="shared" si="71"/>
        <v>#DIV/0!</v>
      </c>
      <c r="JB19" s="12" t="e">
        <f t="shared" si="71"/>
        <v>#DIV/0!</v>
      </c>
      <c r="JC19" s="12" t="e">
        <f t="shared" si="71"/>
        <v>#DIV/0!</v>
      </c>
      <c r="JD19" s="12" t="e">
        <f t="shared" si="71"/>
        <v>#DIV/0!</v>
      </c>
      <c r="JE19" s="12" t="e">
        <f t="shared" si="71"/>
        <v>#DIV/0!</v>
      </c>
      <c r="JF19" s="12" t="e">
        <f t="shared" si="71"/>
        <v>#DIV/0!</v>
      </c>
      <c r="JG19" s="12" t="e">
        <f t="shared" si="71"/>
        <v>#DIV/0!</v>
      </c>
      <c r="JH19" s="12" t="e">
        <f t="shared" si="71"/>
        <v>#DIV/0!</v>
      </c>
      <c r="JI19" s="12" t="e">
        <f t="shared" si="71"/>
        <v>#DIV/0!</v>
      </c>
      <c r="JJ19" s="12" t="e">
        <f t="shared" si="71"/>
        <v>#DIV/0!</v>
      </c>
      <c r="JK19" s="12" t="e">
        <f t="shared" si="71"/>
        <v>#DIV/0!</v>
      </c>
      <c r="JL19" s="12" t="e">
        <f t="shared" si="71"/>
        <v>#DIV/0!</v>
      </c>
      <c r="JM19" s="12" t="e">
        <f t="shared" si="71"/>
        <v>#DIV/0!</v>
      </c>
      <c r="JN19" s="12" t="e">
        <f t="shared" si="71"/>
        <v>#DIV/0!</v>
      </c>
      <c r="JO19" s="12" t="e">
        <f t="shared" si="71"/>
        <v>#DIV/0!</v>
      </c>
      <c r="JP19" s="12" t="e">
        <f t="shared" si="71"/>
        <v>#DIV/0!</v>
      </c>
      <c r="JQ19" s="12" t="e">
        <f t="shared" si="71"/>
        <v>#DIV/0!</v>
      </c>
      <c r="JR19" s="12" t="e">
        <f t="shared" si="71"/>
        <v>#DIV/0!</v>
      </c>
      <c r="JS19" s="12" t="e">
        <f t="shared" si="71"/>
        <v>#DIV/0!</v>
      </c>
      <c r="JT19" s="12" t="e">
        <f t="shared" si="71"/>
        <v>#DIV/0!</v>
      </c>
      <c r="JU19" s="12" t="e">
        <f t="shared" ref="JU19:MF19" si="72">(JU23+JU24)/(JU22)</f>
        <v>#DIV/0!</v>
      </c>
      <c r="JV19" s="12" t="e">
        <f t="shared" si="72"/>
        <v>#DIV/0!</v>
      </c>
      <c r="JW19" s="12" t="e">
        <f t="shared" si="72"/>
        <v>#DIV/0!</v>
      </c>
      <c r="JX19" s="12" t="e">
        <f t="shared" si="72"/>
        <v>#DIV/0!</v>
      </c>
      <c r="JY19" s="12" t="e">
        <f t="shared" si="72"/>
        <v>#DIV/0!</v>
      </c>
      <c r="JZ19" s="12" t="e">
        <f t="shared" si="72"/>
        <v>#DIV/0!</v>
      </c>
      <c r="KA19" s="12" t="e">
        <f t="shared" si="72"/>
        <v>#DIV/0!</v>
      </c>
      <c r="KB19" s="12" t="e">
        <f t="shared" si="72"/>
        <v>#DIV/0!</v>
      </c>
      <c r="KC19" s="12" t="e">
        <f t="shared" si="72"/>
        <v>#DIV/0!</v>
      </c>
      <c r="KD19" s="12" t="e">
        <f t="shared" si="72"/>
        <v>#DIV/0!</v>
      </c>
      <c r="KE19" s="12" t="e">
        <f t="shared" si="72"/>
        <v>#DIV/0!</v>
      </c>
      <c r="KF19" s="12" t="e">
        <f t="shared" si="72"/>
        <v>#DIV/0!</v>
      </c>
      <c r="KG19" s="12" t="e">
        <f t="shared" si="72"/>
        <v>#DIV/0!</v>
      </c>
      <c r="KH19" s="12" t="e">
        <f t="shared" si="72"/>
        <v>#DIV/0!</v>
      </c>
      <c r="KI19" s="12" t="e">
        <f t="shared" si="72"/>
        <v>#DIV/0!</v>
      </c>
      <c r="KJ19" s="12" t="e">
        <f t="shared" si="72"/>
        <v>#DIV/0!</v>
      </c>
      <c r="KK19" s="12" t="e">
        <f t="shared" si="72"/>
        <v>#DIV/0!</v>
      </c>
      <c r="KL19" s="12" t="e">
        <f t="shared" si="72"/>
        <v>#DIV/0!</v>
      </c>
      <c r="KM19" s="12" t="e">
        <f t="shared" si="72"/>
        <v>#DIV/0!</v>
      </c>
      <c r="KN19" s="12" t="e">
        <f t="shared" si="72"/>
        <v>#DIV/0!</v>
      </c>
      <c r="KO19" s="12" t="e">
        <f t="shared" si="72"/>
        <v>#DIV/0!</v>
      </c>
      <c r="KP19" s="12" t="e">
        <f t="shared" si="72"/>
        <v>#DIV/0!</v>
      </c>
      <c r="KQ19" s="12" t="e">
        <f t="shared" si="72"/>
        <v>#DIV/0!</v>
      </c>
      <c r="KR19" s="12" t="e">
        <f t="shared" si="72"/>
        <v>#DIV/0!</v>
      </c>
      <c r="KS19" s="12" t="e">
        <f t="shared" si="72"/>
        <v>#DIV/0!</v>
      </c>
      <c r="KT19" s="12" t="e">
        <f t="shared" si="72"/>
        <v>#DIV/0!</v>
      </c>
      <c r="KU19" s="12" t="e">
        <f t="shared" si="72"/>
        <v>#DIV/0!</v>
      </c>
      <c r="KV19" s="12" t="e">
        <f t="shared" si="72"/>
        <v>#DIV/0!</v>
      </c>
      <c r="KW19" s="12" t="e">
        <f t="shared" si="72"/>
        <v>#DIV/0!</v>
      </c>
      <c r="KX19" s="12" t="e">
        <f t="shared" si="72"/>
        <v>#DIV/0!</v>
      </c>
      <c r="KY19" s="12" t="e">
        <f t="shared" si="72"/>
        <v>#DIV/0!</v>
      </c>
      <c r="KZ19" s="12" t="e">
        <f t="shared" si="72"/>
        <v>#DIV/0!</v>
      </c>
      <c r="LA19" s="12" t="e">
        <f t="shared" si="72"/>
        <v>#DIV/0!</v>
      </c>
      <c r="LB19" s="12" t="e">
        <f t="shared" si="72"/>
        <v>#DIV/0!</v>
      </c>
      <c r="LC19" s="12" t="e">
        <f t="shared" si="72"/>
        <v>#DIV/0!</v>
      </c>
      <c r="LD19" s="12" t="e">
        <f t="shared" si="72"/>
        <v>#DIV/0!</v>
      </c>
      <c r="LE19" s="12" t="e">
        <f t="shared" si="72"/>
        <v>#DIV/0!</v>
      </c>
      <c r="LF19" s="12" t="e">
        <f t="shared" si="72"/>
        <v>#DIV/0!</v>
      </c>
      <c r="LG19" s="12" t="e">
        <f t="shared" si="72"/>
        <v>#DIV/0!</v>
      </c>
      <c r="LH19" s="12" t="e">
        <f t="shared" si="72"/>
        <v>#DIV/0!</v>
      </c>
      <c r="LI19" s="12" t="e">
        <f t="shared" si="72"/>
        <v>#DIV/0!</v>
      </c>
      <c r="LJ19" s="12" t="e">
        <f t="shared" si="72"/>
        <v>#DIV/0!</v>
      </c>
      <c r="LK19" s="12" t="e">
        <f t="shared" si="72"/>
        <v>#DIV/0!</v>
      </c>
      <c r="LL19" s="12" t="e">
        <f t="shared" si="72"/>
        <v>#DIV/0!</v>
      </c>
      <c r="LM19" s="12" t="e">
        <f t="shared" si="72"/>
        <v>#DIV/0!</v>
      </c>
      <c r="LN19" s="12" t="e">
        <f t="shared" si="72"/>
        <v>#DIV/0!</v>
      </c>
      <c r="LO19" s="12" t="e">
        <f t="shared" si="72"/>
        <v>#DIV/0!</v>
      </c>
      <c r="LP19" s="12" t="e">
        <f t="shared" si="72"/>
        <v>#DIV/0!</v>
      </c>
      <c r="LQ19" s="12" t="e">
        <f t="shared" si="72"/>
        <v>#DIV/0!</v>
      </c>
      <c r="LR19" s="12" t="e">
        <f t="shared" si="72"/>
        <v>#DIV/0!</v>
      </c>
      <c r="LS19" s="12" t="e">
        <f t="shared" si="72"/>
        <v>#DIV/0!</v>
      </c>
      <c r="LT19" s="12" t="e">
        <f t="shared" si="72"/>
        <v>#DIV/0!</v>
      </c>
      <c r="LU19" s="12" t="e">
        <f t="shared" si="72"/>
        <v>#DIV/0!</v>
      </c>
      <c r="LV19" s="12" t="e">
        <f t="shared" si="72"/>
        <v>#DIV/0!</v>
      </c>
      <c r="LW19" s="12" t="e">
        <f t="shared" si="72"/>
        <v>#DIV/0!</v>
      </c>
      <c r="LX19" s="12" t="e">
        <f t="shared" si="72"/>
        <v>#DIV/0!</v>
      </c>
      <c r="LY19" s="12" t="e">
        <f t="shared" si="72"/>
        <v>#DIV/0!</v>
      </c>
      <c r="LZ19" s="12" t="e">
        <f t="shared" si="72"/>
        <v>#DIV/0!</v>
      </c>
      <c r="MA19" s="12" t="e">
        <f t="shared" si="72"/>
        <v>#DIV/0!</v>
      </c>
      <c r="MB19" s="12" t="e">
        <f t="shared" si="72"/>
        <v>#DIV/0!</v>
      </c>
      <c r="MC19" s="12" t="e">
        <f t="shared" si="72"/>
        <v>#DIV/0!</v>
      </c>
      <c r="MD19" s="12" t="e">
        <f t="shared" si="72"/>
        <v>#DIV/0!</v>
      </c>
      <c r="ME19" s="12" t="e">
        <f t="shared" si="72"/>
        <v>#DIV/0!</v>
      </c>
      <c r="MF19" s="12" t="e">
        <f t="shared" si="72"/>
        <v>#DIV/0!</v>
      </c>
      <c r="MG19" s="12" t="e">
        <f t="shared" ref="MG19:NC19" si="73">(MG23+MG24)/(MG22)</f>
        <v>#DIV/0!</v>
      </c>
      <c r="MH19" s="12" t="e">
        <f t="shared" si="73"/>
        <v>#DIV/0!</v>
      </c>
      <c r="MI19" s="12" t="e">
        <f t="shared" si="73"/>
        <v>#DIV/0!</v>
      </c>
      <c r="MJ19" s="12" t="e">
        <f t="shared" si="73"/>
        <v>#DIV/0!</v>
      </c>
      <c r="MK19" s="12" t="e">
        <f t="shared" si="73"/>
        <v>#DIV/0!</v>
      </c>
      <c r="ML19" s="12" t="e">
        <f t="shared" si="73"/>
        <v>#DIV/0!</v>
      </c>
      <c r="MM19" s="12" t="e">
        <f t="shared" si="73"/>
        <v>#DIV/0!</v>
      </c>
      <c r="MN19" s="12" t="e">
        <f t="shared" si="73"/>
        <v>#DIV/0!</v>
      </c>
      <c r="MO19" s="12" t="e">
        <f t="shared" si="73"/>
        <v>#DIV/0!</v>
      </c>
      <c r="MP19" s="12" t="e">
        <f t="shared" si="73"/>
        <v>#DIV/0!</v>
      </c>
      <c r="MQ19" s="12" t="e">
        <f t="shared" si="73"/>
        <v>#DIV/0!</v>
      </c>
      <c r="MR19" s="12" t="e">
        <f t="shared" si="73"/>
        <v>#DIV/0!</v>
      </c>
      <c r="MS19" s="12" t="e">
        <f t="shared" si="73"/>
        <v>#DIV/0!</v>
      </c>
      <c r="MT19" s="12" t="e">
        <f t="shared" si="73"/>
        <v>#DIV/0!</v>
      </c>
      <c r="MU19" s="12" t="e">
        <f t="shared" si="73"/>
        <v>#DIV/0!</v>
      </c>
      <c r="MV19" s="12" t="e">
        <f t="shared" si="73"/>
        <v>#DIV/0!</v>
      </c>
      <c r="MW19" s="12" t="e">
        <f t="shared" si="73"/>
        <v>#DIV/0!</v>
      </c>
      <c r="MX19" s="12" t="e">
        <f t="shared" si="73"/>
        <v>#DIV/0!</v>
      </c>
      <c r="MY19" s="12" t="e">
        <f t="shared" si="73"/>
        <v>#DIV/0!</v>
      </c>
      <c r="MZ19" s="12" t="e">
        <f t="shared" si="73"/>
        <v>#DIV/0!</v>
      </c>
      <c r="NA19" s="12" t="e">
        <f t="shared" si="73"/>
        <v>#DIV/0!</v>
      </c>
      <c r="NB19" s="12" t="e">
        <f t="shared" si="73"/>
        <v>#DIV/0!</v>
      </c>
      <c r="NC19" s="12" t="e">
        <f t="shared" si="73"/>
        <v>#DIV/0!</v>
      </c>
      <c r="ND19" s="12">
        <f>(ND23+ND24)/(ND12)</f>
        <v>0.30132450331125826</v>
      </c>
    </row>
    <row r="20" spans="1:368" x14ac:dyDescent="0.3">
      <c r="A20" s="9">
        <v>46069</v>
      </c>
      <c r="B20" s="2">
        <v>41</v>
      </c>
      <c r="C20" s="2">
        <v>213</v>
      </c>
      <c r="E20" s="2">
        <v>4</v>
      </c>
      <c r="F20" s="2">
        <v>7</v>
      </c>
      <c r="H20" s="2">
        <v>254</v>
      </c>
      <c r="I20" s="2">
        <v>11</v>
      </c>
      <c r="N20" s="2" t="s">
        <v>8</v>
      </c>
      <c r="O20" s="2">
        <v>77</v>
      </c>
      <c r="P20"/>
      <c r="AL20" s="48" t="s">
        <v>627</v>
      </c>
      <c r="AM20" s="11">
        <f>1-AM19</f>
        <v>0.5</v>
      </c>
      <c r="AN20" s="11">
        <f t="shared" ref="AN20:CY20" si="74">1-AN19</f>
        <v>0.68421052631578949</v>
      </c>
      <c r="AO20" s="11">
        <f>1-AO19</f>
        <v>0.33333333333333337</v>
      </c>
      <c r="AP20" s="11">
        <f t="shared" si="74"/>
        <v>0.38095238095238093</v>
      </c>
      <c r="AQ20" s="11">
        <f t="shared" si="74"/>
        <v>0.43999999999999995</v>
      </c>
      <c r="AR20" s="11">
        <f t="shared" si="74"/>
        <v>0.46666666666666667</v>
      </c>
      <c r="AS20" s="11">
        <f t="shared" si="74"/>
        <v>0.68571428571428572</v>
      </c>
      <c r="AT20" s="11">
        <f t="shared" si="74"/>
        <v>0.6</v>
      </c>
      <c r="AU20" s="11">
        <f t="shared" si="74"/>
        <v>0.70833333333333326</v>
      </c>
      <c r="AV20" s="11">
        <f t="shared" si="74"/>
        <v>0.75</v>
      </c>
      <c r="AW20" s="11">
        <f t="shared" si="74"/>
        <v>0.62222222222222223</v>
      </c>
      <c r="AX20" s="11">
        <f t="shared" si="74"/>
        <v>0.6733668341708543</v>
      </c>
      <c r="AY20" s="11">
        <f t="shared" si="74"/>
        <v>0.85</v>
      </c>
      <c r="AZ20" s="11">
        <f t="shared" si="74"/>
        <v>0.9</v>
      </c>
      <c r="BA20" s="11">
        <f t="shared" si="74"/>
        <v>0.8</v>
      </c>
      <c r="BB20" s="11">
        <f t="shared" si="74"/>
        <v>0.81818181818181812</v>
      </c>
      <c r="BC20" s="11">
        <f t="shared" si="74"/>
        <v>0.71052631578947367</v>
      </c>
      <c r="BD20" s="11">
        <f t="shared" si="74"/>
        <v>0.81770833333333337</v>
      </c>
      <c r="BE20" s="11">
        <f t="shared" si="74"/>
        <v>0.63888888888888884</v>
      </c>
      <c r="BF20" s="11">
        <f t="shared" si="74"/>
        <v>0.66666666666666674</v>
      </c>
      <c r="BG20" s="11">
        <f t="shared" si="74"/>
        <v>0.55882352941176472</v>
      </c>
      <c r="BH20" s="11">
        <f t="shared" si="74"/>
        <v>0.83333333333333337</v>
      </c>
      <c r="BI20" s="11">
        <f t="shared" si="74"/>
        <v>0.82608695652173914</v>
      </c>
      <c r="BJ20" s="11">
        <f t="shared" si="74"/>
        <v>0.71134020618556704</v>
      </c>
      <c r="BK20" s="11">
        <f t="shared" si="74"/>
        <v>0.68794326241134751</v>
      </c>
      <c r="BL20" s="11">
        <f>1-BL19</f>
        <v>0.81481481481481488</v>
      </c>
      <c r="BM20" s="11">
        <f t="shared" si="74"/>
        <v>0.74193548387096775</v>
      </c>
      <c r="BN20" s="11">
        <f t="shared" si="74"/>
        <v>0.61538461538461542</v>
      </c>
      <c r="BO20" s="11">
        <f t="shared" si="74"/>
        <v>0.72727272727272729</v>
      </c>
      <c r="BP20" s="11">
        <f t="shared" si="74"/>
        <v>0.76315789473684215</v>
      </c>
      <c r="BQ20" s="11">
        <f t="shared" si="74"/>
        <v>0.73548387096774193</v>
      </c>
      <c r="BR20" s="11">
        <f t="shared" si="74"/>
        <v>0.58333333333333326</v>
      </c>
      <c r="BS20" s="11">
        <f t="shared" si="74"/>
        <v>9.0909090909090939E-2</v>
      </c>
      <c r="BT20" s="11">
        <f t="shared" si="74"/>
        <v>0.73529411764705888</v>
      </c>
      <c r="BU20" s="11">
        <f t="shared" si="74"/>
        <v>0.72413793103448276</v>
      </c>
      <c r="BV20" s="11">
        <f t="shared" si="74"/>
        <v>0.84090909090909094</v>
      </c>
      <c r="BW20" s="11">
        <f t="shared" si="74"/>
        <v>0.6901408450704225</v>
      </c>
      <c r="BX20" s="11">
        <f t="shared" si="74"/>
        <v>0.73170731707317072</v>
      </c>
      <c r="BY20" s="11">
        <f t="shared" si="74"/>
        <v>0.58823529411764708</v>
      </c>
      <c r="BZ20" s="11">
        <f t="shared" si="74"/>
        <v>0.70731707317073167</v>
      </c>
      <c r="CA20" s="11">
        <f t="shared" si="74"/>
        <v>0.76595744680851063</v>
      </c>
      <c r="CB20" s="11">
        <f t="shared" si="74"/>
        <v>0.7441860465116279</v>
      </c>
      <c r="CC20" s="11">
        <f t="shared" si="74"/>
        <v>0.71359223300970875</v>
      </c>
      <c r="CD20" s="11" t="e">
        <f t="shared" si="74"/>
        <v>#DIV/0!</v>
      </c>
      <c r="CE20" s="11" t="e">
        <f t="shared" si="74"/>
        <v>#DIV/0!</v>
      </c>
      <c r="CF20" s="11" t="e">
        <f t="shared" si="74"/>
        <v>#DIV/0!</v>
      </c>
      <c r="CG20" s="11" t="e">
        <f t="shared" si="74"/>
        <v>#DIV/0!</v>
      </c>
      <c r="CH20" s="11" t="e">
        <f t="shared" si="74"/>
        <v>#DIV/0!</v>
      </c>
      <c r="CI20" s="11" t="e">
        <f t="shared" si="74"/>
        <v>#DIV/0!</v>
      </c>
      <c r="CJ20" s="11">
        <f t="shared" si="74"/>
        <v>0.71371769383697814</v>
      </c>
      <c r="CK20" s="11" t="e">
        <f t="shared" si="74"/>
        <v>#DIV/0!</v>
      </c>
      <c r="CL20" s="11" t="e">
        <f t="shared" si="74"/>
        <v>#DIV/0!</v>
      </c>
      <c r="CM20" s="11" t="e">
        <f t="shared" si="74"/>
        <v>#DIV/0!</v>
      </c>
      <c r="CN20" s="11" t="e">
        <f t="shared" si="74"/>
        <v>#DIV/0!</v>
      </c>
      <c r="CO20" s="11" t="e">
        <f t="shared" si="74"/>
        <v>#DIV/0!</v>
      </c>
      <c r="CP20" s="11" t="e">
        <f t="shared" si="74"/>
        <v>#DIV/0!</v>
      </c>
      <c r="CQ20" s="11" t="e">
        <f t="shared" si="74"/>
        <v>#DIV/0!</v>
      </c>
      <c r="CR20" s="11" t="e">
        <f t="shared" si="74"/>
        <v>#DIV/0!</v>
      </c>
      <c r="CS20" s="11" t="e">
        <f t="shared" si="74"/>
        <v>#DIV/0!</v>
      </c>
      <c r="CT20" s="11" t="e">
        <f t="shared" si="74"/>
        <v>#DIV/0!</v>
      </c>
      <c r="CU20" s="11" t="e">
        <f t="shared" si="74"/>
        <v>#DIV/0!</v>
      </c>
      <c r="CV20" s="11" t="e">
        <f t="shared" si="74"/>
        <v>#DIV/0!</v>
      </c>
      <c r="CW20" s="11" t="e">
        <f t="shared" si="74"/>
        <v>#DIV/0!</v>
      </c>
      <c r="CX20" s="11" t="e">
        <f t="shared" si="74"/>
        <v>#DIV/0!</v>
      </c>
      <c r="CY20" s="11" t="e">
        <f t="shared" si="74"/>
        <v>#DIV/0!</v>
      </c>
      <c r="CZ20" s="11" t="e">
        <f t="shared" ref="CZ20:FK20" si="75">1-CZ19</f>
        <v>#DIV/0!</v>
      </c>
      <c r="DA20" s="11" t="e">
        <f t="shared" si="75"/>
        <v>#DIV/0!</v>
      </c>
      <c r="DB20" s="11" t="e">
        <f t="shared" si="75"/>
        <v>#DIV/0!</v>
      </c>
      <c r="DC20" s="11" t="e">
        <f t="shared" si="75"/>
        <v>#DIV/0!</v>
      </c>
      <c r="DD20" s="11" t="e">
        <f t="shared" si="75"/>
        <v>#DIV/0!</v>
      </c>
      <c r="DE20" s="11" t="e">
        <f t="shared" si="75"/>
        <v>#DIV/0!</v>
      </c>
      <c r="DF20" s="11" t="e">
        <f t="shared" si="75"/>
        <v>#DIV/0!</v>
      </c>
      <c r="DG20" s="11" t="e">
        <f t="shared" si="75"/>
        <v>#DIV/0!</v>
      </c>
      <c r="DH20" s="11" t="e">
        <f t="shared" si="75"/>
        <v>#DIV/0!</v>
      </c>
      <c r="DI20" s="11" t="e">
        <f t="shared" si="75"/>
        <v>#DIV/0!</v>
      </c>
      <c r="DJ20" s="11" t="e">
        <f t="shared" si="75"/>
        <v>#DIV/0!</v>
      </c>
      <c r="DK20" s="11" t="e">
        <f t="shared" si="75"/>
        <v>#DIV/0!</v>
      </c>
      <c r="DL20" s="11" t="e">
        <f t="shared" si="75"/>
        <v>#DIV/0!</v>
      </c>
      <c r="DM20" s="11" t="e">
        <f t="shared" si="75"/>
        <v>#DIV/0!</v>
      </c>
      <c r="DN20" s="11" t="e">
        <f t="shared" si="75"/>
        <v>#DIV/0!</v>
      </c>
      <c r="DO20" s="11" t="e">
        <f t="shared" si="75"/>
        <v>#DIV/0!</v>
      </c>
      <c r="DP20" s="11" t="e">
        <f t="shared" si="75"/>
        <v>#DIV/0!</v>
      </c>
      <c r="DQ20" s="11" t="e">
        <f t="shared" si="75"/>
        <v>#DIV/0!</v>
      </c>
      <c r="DR20" s="11" t="e">
        <f t="shared" si="75"/>
        <v>#DIV/0!</v>
      </c>
      <c r="DS20" s="11" t="e">
        <f t="shared" si="75"/>
        <v>#DIV/0!</v>
      </c>
      <c r="DT20" s="11" t="e">
        <f t="shared" si="75"/>
        <v>#DIV/0!</v>
      </c>
      <c r="DU20" s="11" t="e">
        <f t="shared" si="75"/>
        <v>#DIV/0!</v>
      </c>
      <c r="DV20" s="11" t="e">
        <f t="shared" si="75"/>
        <v>#DIV/0!</v>
      </c>
      <c r="DW20" s="11" t="e">
        <f t="shared" si="75"/>
        <v>#DIV/0!</v>
      </c>
      <c r="DX20" s="11" t="e">
        <f t="shared" si="75"/>
        <v>#DIV/0!</v>
      </c>
      <c r="DY20" s="11" t="e">
        <f t="shared" si="75"/>
        <v>#DIV/0!</v>
      </c>
      <c r="DZ20" s="11" t="e">
        <f t="shared" si="75"/>
        <v>#DIV/0!</v>
      </c>
      <c r="EA20" s="11" t="e">
        <f t="shared" si="75"/>
        <v>#DIV/0!</v>
      </c>
      <c r="EB20" s="11" t="e">
        <f t="shared" si="75"/>
        <v>#DIV/0!</v>
      </c>
      <c r="EC20" s="11" t="e">
        <f t="shared" si="75"/>
        <v>#DIV/0!</v>
      </c>
      <c r="ED20" s="11" t="e">
        <f t="shared" si="75"/>
        <v>#DIV/0!</v>
      </c>
      <c r="EE20" s="11" t="e">
        <f t="shared" si="75"/>
        <v>#DIV/0!</v>
      </c>
      <c r="EF20" s="11" t="e">
        <f t="shared" si="75"/>
        <v>#DIV/0!</v>
      </c>
      <c r="EG20" s="11" t="e">
        <f t="shared" si="75"/>
        <v>#DIV/0!</v>
      </c>
      <c r="EH20" s="11" t="e">
        <f t="shared" si="75"/>
        <v>#DIV/0!</v>
      </c>
      <c r="EI20" s="11" t="e">
        <f t="shared" si="75"/>
        <v>#DIV/0!</v>
      </c>
      <c r="EJ20" s="11" t="e">
        <f t="shared" si="75"/>
        <v>#DIV/0!</v>
      </c>
      <c r="EK20" s="11" t="e">
        <f t="shared" si="75"/>
        <v>#DIV/0!</v>
      </c>
      <c r="EL20" s="11" t="e">
        <f t="shared" si="75"/>
        <v>#DIV/0!</v>
      </c>
      <c r="EM20" s="11" t="e">
        <f t="shared" si="75"/>
        <v>#DIV/0!</v>
      </c>
      <c r="EN20" s="11" t="e">
        <f t="shared" si="75"/>
        <v>#DIV/0!</v>
      </c>
      <c r="EO20" s="11" t="e">
        <f t="shared" si="75"/>
        <v>#DIV/0!</v>
      </c>
      <c r="EP20" s="11" t="e">
        <f t="shared" si="75"/>
        <v>#DIV/0!</v>
      </c>
      <c r="EQ20" s="11" t="e">
        <f t="shared" si="75"/>
        <v>#DIV/0!</v>
      </c>
      <c r="ER20" s="11" t="e">
        <f t="shared" si="75"/>
        <v>#DIV/0!</v>
      </c>
      <c r="ES20" s="11" t="e">
        <f t="shared" si="75"/>
        <v>#DIV/0!</v>
      </c>
      <c r="ET20" s="11" t="e">
        <f t="shared" si="75"/>
        <v>#DIV/0!</v>
      </c>
      <c r="EU20" s="11" t="e">
        <f t="shared" si="75"/>
        <v>#DIV/0!</v>
      </c>
      <c r="EV20" s="11" t="e">
        <f t="shared" si="75"/>
        <v>#DIV/0!</v>
      </c>
      <c r="EW20" s="11" t="e">
        <f t="shared" si="75"/>
        <v>#DIV/0!</v>
      </c>
      <c r="EX20" s="11" t="e">
        <f t="shared" si="75"/>
        <v>#DIV/0!</v>
      </c>
      <c r="EY20" s="11" t="e">
        <f t="shared" si="75"/>
        <v>#DIV/0!</v>
      </c>
      <c r="EZ20" s="11" t="e">
        <f t="shared" si="75"/>
        <v>#DIV/0!</v>
      </c>
      <c r="FA20" s="11" t="e">
        <f t="shared" si="75"/>
        <v>#DIV/0!</v>
      </c>
      <c r="FB20" s="11" t="e">
        <f t="shared" si="75"/>
        <v>#DIV/0!</v>
      </c>
      <c r="FC20" s="11" t="e">
        <f t="shared" si="75"/>
        <v>#DIV/0!</v>
      </c>
      <c r="FD20" s="11" t="e">
        <f t="shared" si="75"/>
        <v>#DIV/0!</v>
      </c>
      <c r="FE20" s="11" t="e">
        <f t="shared" si="75"/>
        <v>#DIV/0!</v>
      </c>
      <c r="FF20" s="11" t="e">
        <f t="shared" si="75"/>
        <v>#DIV/0!</v>
      </c>
      <c r="FG20" s="11" t="e">
        <f t="shared" si="75"/>
        <v>#DIV/0!</v>
      </c>
      <c r="FH20" s="11" t="e">
        <f t="shared" si="75"/>
        <v>#DIV/0!</v>
      </c>
      <c r="FI20" s="11" t="e">
        <f t="shared" si="75"/>
        <v>#DIV/0!</v>
      </c>
      <c r="FJ20" s="11" t="e">
        <f t="shared" si="75"/>
        <v>#DIV/0!</v>
      </c>
      <c r="FK20" s="11" t="e">
        <f t="shared" si="75"/>
        <v>#DIV/0!</v>
      </c>
      <c r="FL20" s="11" t="e">
        <f t="shared" ref="FL20:HW20" si="76">1-FL19</f>
        <v>#DIV/0!</v>
      </c>
      <c r="FM20" s="11" t="e">
        <f t="shared" si="76"/>
        <v>#DIV/0!</v>
      </c>
      <c r="FN20" s="11" t="e">
        <f t="shared" si="76"/>
        <v>#DIV/0!</v>
      </c>
      <c r="FO20" s="11" t="e">
        <f t="shared" si="76"/>
        <v>#DIV/0!</v>
      </c>
      <c r="FP20" s="11" t="e">
        <f t="shared" si="76"/>
        <v>#DIV/0!</v>
      </c>
      <c r="FQ20" s="11" t="e">
        <f t="shared" si="76"/>
        <v>#DIV/0!</v>
      </c>
      <c r="FR20" s="11" t="e">
        <f t="shared" si="76"/>
        <v>#DIV/0!</v>
      </c>
      <c r="FS20" s="11" t="e">
        <f t="shared" si="76"/>
        <v>#DIV/0!</v>
      </c>
      <c r="FT20" s="11" t="e">
        <f t="shared" si="76"/>
        <v>#DIV/0!</v>
      </c>
      <c r="FU20" s="11" t="e">
        <f t="shared" si="76"/>
        <v>#DIV/0!</v>
      </c>
      <c r="FV20" s="11" t="e">
        <f t="shared" si="76"/>
        <v>#DIV/0!</v>
      </c>
      <c r="FW20" s="11" t="e">
        <f t="shared" si="76"/>
        <v>#DIV/0!</v>
      </c>
      <c r="FX20" s="11" t="e">
        <f t="shared" si="76"/>
        <v>#DIV/0!</v>
      </c>
      <c r="FY20" s="11" t="e">
        <f t="shared" si="76"/>
        <v>#DIV/0!</v>
      </c>
      <c r="FZ20" s="11" t="e">
        <f t="shared" si="76"/>
        <v>#DIV/0!</v>
      </c>
      <c r="GA20" s="11" t="e">
        <f t="shared" si="76"/>
        <v>#DIV/0!</v>
      </c>
      <c r="GB20" s="11" t="e">
        <f t="shared" si="76"/>
        <v>#DIV/0!</v>
      </c>
      <c r="GC20" s="11" t="e">
        <f t="shared" si="76"/>
        <v>#DIV/0!</v>
      </c>
      <c r="GD20" s="11" t="e">
        <f t="shared" si="76"/>
        <v>#DIV/0!</v>
      </c>
      <c r="GE20" s="11" t="e">
        <f t="shared" si="76"/>
        <v>#DIV/0!</v>
      </c>
      <c r="GF20" s="11" t="e">
        <f t="shared" si="76"/>
        <v>#DIV/0!</v>
      </c>
      <c r="GG20" s="11" t="e">
        <f t="shared" si="76"/>
        <v>#DIV/0!</v>
      </c>
      <c r="GH20" s="11" t="e">
        <f t="shared" si="76"/>
        <v>#DIV/0!</v>
      </c>
      <c r="GI20" s="11" t="e">
        <f t="shared" si="76"/>
        <v>#DIV/0!</v>
      </c>
      <c r="GJ20" s="11" t="e">
        <f t="shared" si="76"/>
        <v>#DIV/0!</v>
      </c>
      <c r="GK20" s="11" t="e">
        <f t="shared" si="76"/>
        <v>#DIV/0!</v>
      </c>
      <c r="GL20" s="11" t="e">
        <f t="shared" si="76"/>
        <v>#DIV/0!</v>
      </c>
      <c r="GM20" s="11" t="e">
        <f t="shared" si="76"/>
        <v>#DIV/0!</v>
      </c>
      <c r="GN20" s="11" t="e">
        <f t="shared" si="76"/>
        <v>#DIV/0!</v>
      </c>
      <c r="GO20" s="11" t="e">
        <f t="shared" si="76"/>
        <v>#DIV/0!</v>
      </c>
      <c r="GP20" s="11" t="e">
        <f t="shared" si="76"/>
        <v>#DIV/0!</v>
      </c>
      <c r="GQ20" s="11" t="e">
        <f t="shared" si="76"/>
        <v>#DIV/0!</v>
      </c>
      <c r="GR20" s="11" t="e">
        <f t="shared" si="76"/>
        <v>#DIV/0!</v>
      </c>
      <c r="GS20" s="11" t="e">
        <f t="shared" si="76"/>
        <v>#DIV/0!</v>
      </c>
      <c r="GT20" s="11" t="e">
        <f t="shared" si="76"/>
        <v>#DIV/0!</v>
      </c>
      <c r="GU20" s="11" t="e">
        <f t="shared" si="76"/>
        <v>#DIV/0!</v>
      </c>
      <c r="GV20" s="11" t="e">
        <f t="shared" si="76"/>
        <v>#DIV/0!</v>
      </c>
      <c r="GW20" s="11" t="e">
        <f t="shared" si="76"/>
        <v>#DIV/0!</v>
      </c>
      <c r="GX20" s="11" t="e">
        <f t="shared" si="76"/>
        <v>#DIV/0!</v>
      </c>
      <c r="GY20" s="11" t="e">
        <f t="shared" si="76"/>
        <v>#DIV/0!</v>
      </c>
      <c r="GZ20" s="11" t="e">
        <f t="shared" si="76"/>
        <v>#DIV/0!</v>
      </c>
      <c r="HA20" s="11" t="e">
        <f t="shared" si="76"/>
        <v>#DIV/0!</v>
      </c>
      <c r="HB20" s="11" t="e">
        <f t="shared" si="76"/>
        <v>#DIV/0!</v>
      </c>
      <c r="HC20" s="11" t="e">
        <f t="shared" si="76"/>
        <v>#DIV/0!</v>
      </c>
      <c r="HD20" s="11" t="e">
        <f t="shared" si="76"/>
        <v>#DIV/0!</v>
      </c>
      <c r="HE20" s="11" t="e">
        <f t="shared" si="76"/>
        <v>#DIV/0!</v>
      </c>
      <c r="HF20" s="11" t="e">
        <f t="shared" si="76"/>
        <v>#DIV/0!</v>
      </c>
      <c r="HG20" s="11" t="e">
        <f t="shared" si="76"/>
        <v>#DIV/0!</v>
      </c>
      <c r="HH20" s="11" t="e">
        <f t="shared" si="76"/>
        <v>#DIV/0!</v>
      </c>
      <c r="HI20" s="11" t="e">
        <f t="shared" si="76"/>
        <v>#DIV/0!</v>
      </c>
      <c r="HJ20" s="11" t="e">
        <f t="shared" si="76"/>
        <v>#DIV/0!</v>
      </c>
      <c r="HK20" s="11" t="e">
        <f t="shared" si="76"/>
        <v>#DIV/0!</v>
      </c>
      <c r="HL20" s="11" t="e">
        <f t="shared" si="76"/>
        <v>#DIV/0!</v>
      </c>
      <c r="HM20" s="11" t="e">
        <f t="shared" si="76"/>
        <v>#DIV/0!</v>
      </c>
      <c r="HN20" s="11" t="e">
        <f t="shared" si="76"/>
        <v>#DIV/0!</v>
      </c>
      <c r="HO20" s="11" t="e">
        <f t="shared" si="76"/>
        <v>#DIV/0!</v>
      </c>
      <c r="HP20" s="11" t="e">
        <f t="shared" si="76"/>
        <v>#DIV/0!</v>
      </c>
      <c r="HQ20" s="11" t="e">
        <f t="shared" si="76"/>
        <v>#DIV/0!</v>
      </c>
      <c r="HR20" s="11" t="e">
        <f t="shared" si="76"/>
        <v>#DIV/0!</v>
      </c>
      <c r="HS20" s="11" t="e">
        <f t="shared" si="76"/>
        <v>#DIV/0!</v>
      </c>
      <c r="HT20" s="11" t="e">
        <f t="shared" si="76"/>
        <v>#DIV/0!</v>
      </c>
      <c r="HU20" s="11" t="e">
        <f t="shared" si="76"/>
        <v>#DIV/0!</v>
      </c>
      <c r="HV20" s="11" t="e">
        <f t="shared" si="76"/>
        <v>#DIV/0!</v>
      </c>
      <c r="HW20" s="11" t="e">
        <f t="shared" si="76"/>
        <v>#DIV/0!</v>
      </c>
      <c r="HX20" s="11" t="e">
        <f t="shared" ref="HX20:KI20" si="77">1-HX19</f>
        <v>#DIV/0!</v>
      </c>
      <c r="HY20" s="11" t="e">
        <f t="shared" si="77"/>
        <v>#DIV/0!</v>
      </c>
      <c r="HZ20" s="11" t="e">
        <f t="shared" si="77"/>
        <v>#DIV/0!</v>
      </c>
      <c r="IA20" s="11" t="e">
        <f t="shared" si="77"/>
        <v>#DIV/0!</v>
      </c>
      <c r="IB20" s="11" t="e">
        <f t="shared" si="77"/>
        <v>#DIV/0!</v>
      </c>
      <c r="IC20" s="11" t="e">
        <f t="shared" si="77"/>
        <v>#DIV/0!</v>
      </c>
      <c r="ID20" s="11" t="e">
        <f t="shared" si="77"/>
        <v>#DIV/0!</v>
      </c>
      <c r="IE20" s="11" t="e">
        <f t="shared" si="77"/>
        <v>#DIV/0!</v>
      </c>
      <c r="IF20" s="11" t="e">
        <f t="shared" si="77"/>
        <v>#DIV/0!</v>
      </c>
      <c r="IG20" s="11" t="e">
        <f t="shared" si="77"/>
        <v>#DIV/0!</v>
      </c>
      <c r="IH20" s="11" t="e">
        <f t="shared" si="77"/>
        <v>#DIV/0!</v>
      </c>
      <c r="II20" s="11" t="e">
        <f t="shared" si="77"/>
        <v>#DIV/0!</v>
      </c>
      <c r="IJ20" s="11" t="e">
        <f t="shared" si="77"/>
        <v>#DIV/0!</v>
      </c>
      <c r="IK20" s="11" t="e">
        <f t="shared" si="77"/>
        <v>#DIV/0!</v>
      </c>
      <c r="IL20" s="11" t="e">
        <f t="shared" si="77"/>
        <v>#DIV/0!</v>
      </c>
      <c r="IM20" s="11" t="e">
        <f t="shared" si="77"/>
        <v>#DIV/0!</v>
      </c>
      <c r="IN20" s="11" t="e">
        <f t="shared" si="77"/>
        <v>#DIV/0!</v>
      </c>
      <c r="IO20" s="11" t="e">
        <f t="shared" si="77"/>
        <v>#DIV/0!</v>
      </c>
      <c r="IP20" s="11" t="e">
        <f t="shared" si="77"/>
        <v>#DIV/0!</v>
      </c>
      <c r="IQ20" s="11" t="e">
        <f t="shared" si="77"/>
        <v>#DIV/0!</v>
      </c>
      <c r="IR20" s="11" t="e">
        <f t="shared" si="77"/>
        <v>#DIV/0!</v>
      </c>
      <c r="IS20" s="11" t="e">
        <f t="shared" si="77"/>
        <v>#DIV/0!</v>
      </c>
      <c r="IT20" s="11" t="e">
        <f t="shared" si="77"/>
        <v>#DIV/0!</v>
      </c>
      <c r="IU20" s="11" t="e">
        <f t="shared" si="77"/>
        <v>#DIV/0!</v>
      </c>
      <c r="IV20" s="11" t="e">
        <f t="shared" si="77"/>
        <v>#DIV/0!</v>
      </c>
      <c r="IW20" s="11" t="e">
        <f t="shared" si="77"/>
        <v>#DIV/0!</v>
      </c>
      <c r="IX20" s="11" t="e">
        <f t="shared" si="77"/>
        <v>#DIV/0!</v>
      </c>
      <c r="IY20" s="11" t="e">
        <f t="shared" si="77"/>
        <v>#DIV/0!</v>
      </c>
      <c r="IZ20" s="11" t="e">
        <f t="shared" si="77"/>
        <v>#DIV/0!</v>
      </c>
      <c r="JA20" s="11" t="e">
        <f t="shared" si="77"/>
        <v>#DIV/0!</v>
      </c>
      <c r="JB20" s="11" t="e">
        <f t="shared" si="77"/>
        <v>#DIV/0!</v>
      </c>
      <c r="JC20" s="11" t="e">
        <f t="shared" si="77"/>
        <v>#DIV/0!</v>
      </c>
      <c r="JD20" s="11" t="e">
        <f t="shared" si="77"/>
        <v>#DIV/0!</v>
      </c>
      <c r="JE20" s="11" t="e">
        <f t="shared" si="77"/>
        <v>#DIV/0!</v>
      </c>
      <c r="JF20" s="11" t="e">
        <f t="shared" si="77"/>
        <v>#DIV/0!</v>
      </c>
      <c r="JG20" s="11" t="e">
        <f t="shared" si="77"/>
        <v>#DIV/0!</v>
      </c>
      <c r="JH20" s="11" t="e">
        <f t="shared" si="77"/>
        <v>#DIV/0!</v>
      </c>
      <c r="JI20" s="11" t="e">
        <f t="shared" si="77"/>
        <v>#DIV/0!</v>
      </c>
      <c r="JJ20" s="11" t="e">
        <f t="shared" si="77"/>
        <v>#DIV/0!</v>
      </c>
      <c r="JK20" s="11" t="e">
        <f t="shared" si="77"/>
        <v>#DIV/0!</v>
      </c>
      <c r="JL20" s="11" t="e">
        <f t="shared" si="77"/>
        <v>#DIV/0!</v>
      </c>
      <c r="JM20" s="11" t="e">
        <f t="shared" si="77"/>
        <v>#DIV/0!</v>
      </c>
      <c r="JN20" s="11" t="e">
        <f t="shared" si="77"/>
        <v>#DIV/0!</v>
      </c>
      <c r="JO20" s="11" t="e">
        <f t="shared" si="77"/>
        <v>#DIV/0!</v>
      </c>
      <c r="JP20" s="11" t="e">
        <f t="shared" si="77"/>
        <v>#DIV/0!</v>
      </c>
      <c r="JQ20" s="11" t="e">
        <f t="shared" si="77"/>
        <v>#DIV/0!</v>
      </c>
      <c r="JR20" s="11" t="e">
        <f t="shared" si="77"/>
        <v>#DIV/0!</v>
      </c>
      <c r="JS20" s="11" t="e">
        <f t="shared" si="77"/>
        <v>#DIV/0!</v>
      </c>
      <c r="JT20" s="11" t="e">
        <f t="shared" si="77"/>
        <v>#DIV/0!</v>
      </c>
      <c r="JU20" s="11" t="e">
        <f t="shared" si="77"/>
        <v>#DIV/0!</v>
      </c>
      <c r="JV20" s="11" t="e">
        <f t="shared" si="77"/>
        <v>#DIV/0!</v>
      </c>
      <c r="JW20" s="11" t="e">
        <f t="shared" si="77"/>
        <v>#DIV/0!</v>
      </c>
      <c r="JX20" s="11" t="e">
        <f t="shared" si="77"/>
        <v>#DIV/0!</v>
      </c>
      <c r="JY20" s="11" t="e">
        <f t="shared" si="77"/>
        <v>#DIV/0!</v>
      </c>
      <c r="JZ20" s="11" t="e">
        <f t="shared" si="77"/>
        <v>#DIV/0!</v>
      </c>
      <c r="KA20" s="11" t="e">
        <f t="shared" si="77"/>
        <v>#DIV/0!</v>
      </c>
      <c r="KB20" s="11" t="e">
        <f t="shared" si="77"/>
        <v>#DIV/0!</v>
      </c>
      <c r="KC20" s="11" t="e">
        <f t="shared" si="77"/>
        <v>#DIV/0!</v>
      </c>
      <c r="KD20" s="11" t="e">
        <f t="shared" si="77"/>
        <v>#DIV/0!</v>
      </c>
      <c r="KE20" s="11" t="e">
        <f t="shared" si="77"/>
        <v>#DIV/0!</v>
      </c>
      <c r="KF20" s="11" t="e">
        <f t="shared" si="77"/>
        <v>#DIV/0!</v>
      </c>
      <c r="KG20" s="11" t="e">
        <f t="shared" si="77"/>
        <v>#DIV/0!</v>
      </c>
      <c r="KH20" s="11" t="e">
        <f t="shared" si="77"/>
        <v>#DIV/0!</v>
      </c>
      <c r="KI20" s="11" t="e">
        <f t="shared" si="77"/>
        <v>#DIV/0!</v>
      </c>
      <c r="KJ20" s="11" t="e">
        <f t="shared" ref="KJ20:MU20" si="78">1-KJ19</f>
        <v>#DIV/0!</v>
      </c>
      <c r="KK20" s="11" t="e">
        <f t="shared" si="78"/>
        <v>#DIV/0!</v>
      </c>
      <c r="KL20" s="11" t="e">
        <f t="shared" si="78"/>
        <v>#DIV/0!</v>
      </c>
      <c r="KM20" s="11" t="e">
        <f t="shared" si="78"/>
        <v>#DIV/0!</v>
      </c>
      <c r="KN20" s="11" t="e">
        <f t="shared" si="78"/>
        <v>#DIV/0!</v>
      </c>
      <c r="KO20" s="11" t="e">
        <f t="shared" si="78"/>
        <v>#DIV/0!</v>
      </c>
      <c r="KP20" s="11" t="e">
        <f t="shared" si="78"/>
        <v>#DIV/0!</v>
      </c>
      <c r="KQ20" s="11" t="e">
        <f t="shared" si="78"/>
        <v>#DIV/0!</v>
      </c>
      <c r="KR20" s="11" t="e">
        <f t="shared" si="78"/>
        <v>#DIV/0!</v>
      </c>
      <c r="KS20" s="11" t="e">
        <f t="shared" si="78"/>
        <v>#DIV/0!</v>
      </c>
      <c r="KT20" s="11" t="e">
        <f t="shared" si="78"/>
        <v>#DIV/0!</v>
      </c>
      <c r="KU20" s="11" t="e">
        <f t="shared" si="78"/>
        <v>#DIV/0!</v>
      </c>
      <c r="KV20" s="11" t="e">
        <f t="shared" si="78"/>
        <v>#DIV/0!</v>
      </c>
      <c r="KW20" s="11" t="e">
        <f t="shared" si="78"/>
        <v>#DIV/0!</v>
      </c>
      <c r="KX20" s="11" t="e">
        <f t="shared" si="78"/>
        <v>#DIV/0!</v>
      </c>
      <c r="KY20" s="11" t="e">
        <f t="shared" si="78"/>
        <v>#DIV/0!</v>
      </c>
      <c r="KZ20" s="11" t="e">
        <f t="shared" si="78"/>
        <v>#DIV/0!</v>
      </c>
      <c r="LA20" s="11" t="e">
        <f t="shared" si="78"/>
        <v>#DIV/0!</v>
      </c>
      <c r="LB20" s="11" t="e">
        <f t="shared" si="78"/>
        <v>#DIV/0!</v>
      </c>
      <c r="LC20" s="11" t="e">
        <f t="shared" si="78"/>
        <v>#DIV/0!</v>
      </c>
      <c r="LD20" s="11" t="e">
        <f t="shared" si="78"/>
        <v>#DIV/0!</v>
      </c>
      <c r="LE20" s="11" t="e">
        <f t="shared" si="78"/>
        <v>#DIV/0!</v>
      </c>
      <c r="LF20" s="11" t="e">
        <f t="shared" si="78"/>
        <v>#DIV/0!</v>
      </c>
      <c r="LG20" s="11" t="e">
        <f t="shared" si="78"/>
        <v>#DIV/0!</v>
      </c>
      <c r="LH20" s="11" t="e">
        <f t="shared" si="78"/>
        <v>#DIV/0!</v>
      </c>
      <c r="LI20" s="11" t="e">
        <f t="shared" si="78"/>
        <v>#DIV/0!</v>
      </c>
      <c r="LJ20" s="11" t="e">
        <f t="shared" si="78"/>
        <v>#DIV/0!</v>
      </c>
      <c r="LK20" s="11" t="e">
        <f t="shared" si="78"/>
        <v>#DIV/0!</v>
      </c>
      <c r="LL20" s="11" t="e">
        <f t="shared" si="78"/>
        <v>#DIV/0!</v>
      </c>
      <c r="LM20" s="11" t="e">
        <f t="shared" si="78"/>
        <v>#DIV/0!</v>
      </c>
      <c r="LN20" s="11" t="e">
        <f t="shared" si="78"/>
        <v>#DIV/0!</v>
      </c>
      <c r="LO20" s="11" t="e">
        <f t="shared" si="78"/>
        <v>#DIV/0!</v>
      </c>
      <c r="LP20" s="11" t="e">
        <f t="shared" si="78"/>
        <v>#DIV/0!</v>
      </c>
      <c r="LQ20" s="11" t="e">
        <f t="shared" si="78"/>
        <v>#DIV/0!</v>
      </c>
      <c r="LR20" s="11" t="e">
        <f t="shared" si="78"/>
        <v>#DIV/0!</v>
      </c>
      <c r="LS20" s="11" t="e">
        <f t="shared" si="78"/>
        <v>#DIV/0!</v>
      </c>
      <c r="LT20" s="11" t="e">
        <f t="shared" si="78"/>
        <v>#DIV/0!</v>
      </c>
      <c r="LU20" s="11" t="e">
        <f t="shared" si="78"/>
        <v>#DIV/0!</v>
      </c>
      <c r="LV20" s="11" t="e">
        <f t="shared" si="78"/>
        <v>#DIV/0!</v>
      </c>
      <c r="LW20" s="11" t="e">
        <f t="shared" si="78"/>
        <v>#DIV/0!</v>
      </c>
      <c r="LX20" s="11" t="e">
        <f t="shared" si="78"/>
        <v>#DIV/0!</v>
      </c>
      <c r="LY20" s="11" t="e">
        <f t="shared" si="78"/>
        <v>#DIV/0!</v>
      </c>
      <c r="LZ20" s="11" t="e">
        <f t="shared" si="78"/>
        <v>#DIV/0!</v>
      </c>
      <c r="MA20" s="11" t="e">
        <f t="shared" si="78"/>
        <v>#DIV/0!</v>
      </c>
      <c r="MB20" s="11" t="e">
        <f t="shared" si="78"/>
        <v>#DIV/0!</v>
      </c>
      <c r="MC20" s="11" t="e">
        <f t="shared" si="78"/>
        <v>#DIV/0!</v>
      </c>
      <c r="MD20" s="11" t="e">
        <f t="shared" si="78"/>
        <v>#DIV/0!</v>
      </c>
      <c r="ME20" s="11" t="e">
        <f t="shared" si="78"/>
        <v>#DIV/0!</v>
      </c>
      <c r="MF20" s="11" t="e">
        <f t="shared" si="78"/>
        <v>#DIV/0!</v>
      </c>
      <c r="MG20" s="11" t="e">
        <f t="shared" si="78"/>
        <v>#DIV/0!</v>
      </c>
      <c r="MH20" s="11" t="e">
        <f t="shared" si="78"/>
        <v>#DIV/0!</v>
      </c>
      <c r="MI20" s="11" t="e">
        <f t="shared" si="78"/>
        <v>#DIV/0!</v>
      </c>
      <c r="MJ20" s="11" t="e">
        <f t="shared" si="78"/>
        <v>#DIV/0!</v>
      </c>
      <c r="MK20" s="11" t="e">
        <f t="shared" si="78"/>
        <v>#DIV/0!</v>
      </c>
      <c r="ML20" s="11" t="e">
        <f t="shared" si="78"/>
        <v>#DIV/0!</v>
      </c>
      <c r="MM20" s="11" t="e">
        <f t="shared" si="78"/>
        <v>#DIV/0!</v>
      </c>
      <c r="MN20" s="11" t="e">
        <f t="shared" si="78"/>
        <v>#DIV/0!</v>
      </c>
      <c r="MO20" s="11" t="e">
        <f t="shared" si="78"/>
        <v>#DIV/0!</v>
      </c>
      <c r="MP20" s="11" t="e">
        <f t="shared" si="78"/>
        <v>#DIV/0!</v>
      </c>
      <c r="MQ20" s="11" t="e">
        <f t="shared" si="78"/>
        <v>#DIV/0!</v>
      </c>
      <c r="MR20" s="11" t="e">
        <f t="shared" si="78"/>
        <v>#DIV/0!</v>
      </c>
      <c r="MS20" s="11" t="e">
        <f t="shared" si="78"/>
        <v>#DIV/0!</v>
      </c>
      <c r="MT20" s="11" t="e">
        <f t="shared" si="78"/>
        <v>#DIV/0!</v>
      </c>
      <c r="MU20" s="11" t="e">
        <f t="shared" si="78"/>
        <v>#DIV/0!</v>
      </c>
      <c r="MV20" s="11" t="e">
        <f t="shared" ref="MV20:ND20" si="79">1-MV19</f>
        <v>#DIV/0!</v>
      </c>
      <c r="MW20" s="11" t="e">
        <f t="shared" si="79"/>
        <v>#DIV/0!</v>
      </c>
      <c r="MX20" s="11" t="e">
        <f t="shared" si="79"/>
        <v>#DIV/0!</v>
      </c>
      <c r="MY20" s="11" t="e">
        <f t="shared" si="79"/>
        <v>#DIV/0!</v>
      </c>
      <c r="MZ20" s="11" t="e">
        <f t="shared" si="79"/>
        <v>#DIV/0!</v>
      </c>
      <c r="NA20" s="11" t="e">
        <f t="shared" si="79"/>
        <v>#DIV/0!</v>
      </c>
      <c r="NB20" s="11" t="e">
        <f t="shared" si="79"/>
        <v>#DIV/0!</v>
      </c>
      <c r="NC20" s="11" t="e">
        <f t="shared" si="79"/>
        <v>#DIV/0!</v>
      </c>
      <c r="ND20" s="11">
        <f t="shared" si="79"/>
        <v>0.69867549668874174</v>
      </c>
    </row>
    <row r="21" spans="1:368" x14ac:dyDescent="0.3">
      <c r="A21" s="9">
        <v>46070</v>
      </c>
      <c r="B21" s="2">
        <v>34</v>
      </c>
      <c r="C21" s="2">
        <v>208</v>
      </c>
      <c r="E21" s="2">
        <v>3</v>
      </c>
      <c r="F21" s="2">
        <v>11</v>
      </c>
      <c r="H21" s="2">
        <v>242</v>
      </c>
      <c r="I21" s="2">
        <v>14</v>
      </c>
      <c r="N21" s="2" t="s">
        <v>32</v>
      </c>
      <c r="O21" s="2">
        <v>503</v>
      </c>
      <c r="P21"/>
      <c r="AL21" s="237" t="s">
        <v>693</v>
      </c>
      <c r="AM21" s="237">
        <v>4</v>
      </c>
      <c r="AN21" s="237">
        <v>4</v>
      </c>
      <c r="AO21" s="237">
        <v>6</v>
      </c>
      <c r="AP21" s="237">
        <v>4</v>
      </c>
      <c r="AQ21" s="237">
        <v>4</v>
      </c>
      <c r="AR21" s="237">
        <f>AVERAGE(AM21:AQ21)</f>
        <v>4.4000000000000004</v>
      </c>
      <c r="AS21" s="237">
        <v>4</v>
      </c>
      <c r="AT21" s="237">
        <v>6</v>
      </c>
      <c r="AU21" s="237">
        <v>5</v>
      </c>
      <c r="AV21" s="237">
        <v>6</v>
      </c>
      <c r="AW21" s="237">
        <v>5</v>
      </c>
      <c r="AX21" s="14">
        <f>AVERAGE(AS21:AW21)</f>
        <v>5.2</v>
      </c>
      <c r="AY21" s="237">
        <v>7</v>
      </c>
      <c r="AZ21" s="237">
        <v>5</v>
      </c>
      <c r="BA21" s="237">
        <v>4</v>
      </c>
      <c r="BB21" s="237">
        <v>5</v>
      </c>
      <c r="BC21" s="237">
        <v>4</v>
      </c>
      <c r="BD21" s="238">
        <f>AVERAGE(AY21:BC21)</f>
        <v>5</v>
      </c>
      <c r="BE21" s="237">
        <v>8</v>
      </c>
      <c r="BF21" s="237">
        <v>4</v>
      </c>
      <c r="BG21" s="237">
        <v>2</v>
      </c>
      <c r="BH21" s="237">
        <v>5</v>
      </c>
      <c r="BI21" s="237">
        <v>2</v>
      </c>
      <c r="BJ21" s="238">
        <f>AVERAGE(BE21:BI21)</f>
        <v>4.2</v>
      </c>
      <c r="BK21" s="238">
        <f>(AR21+AX21+BD21+BJ21)/4</f>
        <v>4.7</v>
      </c>
      <c r="BL21" s="14">
        <v>2</v>
      </c>
      <c r="BM21" s="14">
        <v>7</v>
      </c>
      <c r="BN21" s="14">
        <v>6</v>
      </c>
      <c r="BO21" s="14">
        <v>7</v>
      </c>
      <c r="BP21" s="14">
        <v>4</v>
      </c>
      <c r="BQ21" s="237">
        <f>AVERAGE(BL21:BP21)</f>
        <v>5.2</v>
      </c>
      <c r="BR21" s="14">
        <v>7</v>
      </c>
      <c r="BS21" s="14">
        <v>3</v>
      </c>
      <c r="BT21" s="14">
        <v>5</v>
      </c>
      <c r="BU21" s="14">
        <v>5</v>
      </c>
      <c r="BV21" s="14">
        <v>5</v>
      </c>
      <c r="BW21" s="237">
        <f>AVERAGE(BR21:BV21)</f>
        <v>5</v>
      </c>
      <c r="BX21" s="14">
        <v>4</v>
      </c>
      <c r="BY21" s="14">
        <v>4</v>
      </c>
      <c r="BZ21" s="14">
        <v>7</v>
      </c>
      <c r="CA21" s="14">
        <v>6</v>
      </c>
      <c r="CB21" s="14">
        <v>5</v>
      </c>
      <c r="CC21" s="237">
        <f>AVERAGE(BX21:CB21)</f>
        <v>5.2</v>
      </c>
      <c r="CD21" s="14">
        <v>0</v>
      </c>
      <c r="CE21" s="14"/>
      <c r="CF21" s="14"/>
      <c r="CG21" s="14"/>
      <c r="CH21" s="14"/>
      <c r="CI21" s="237">
        <f>AVERAGE(CD21:CH21)</f>
        <v>0</v>
      </c>
      <c r="CJ21" s="238">
        <f>(BQ21+BW21+CC21+CI21)/3</f>
        <v>5.1333333333333329</v>
      </c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238"/>
      <c r="DC21" s="14"/>
      <c r="DD21" s="14"/>
      <c r="DE21" s="14"/>
      <c r="DF21" s="14"/>
      <c r="DG21" s="14"/>
      <c r="DH21" s="238"/>
      <c r="DI21" s="14"/>
      <c r="DJ21" s="14"/>
      <c r="DK21" s="14"/>
      <c r="DL21" s="238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238"/>
      <c r="EC21" s="14"/>
      <c r="ED21" s="14"/>
      <c r="EE21" s="14"/>
      <c r="EF21" s="14"/>
      <c r="EG21" s="14"/>
      <c r="EH21" s="238"/>
      <c r="EI21" s="14"/>
      <c r="EJ21" s="14"/>
      <c r="EK21" s="14"/>
      <c r="EL21" s="14"/>
      <c r="EM21" s="238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238"/>
      <c r="FC21" s="14"/>
      <c r="FD21" s="14"/>
      <c r="FE21" s="14"/>
      <c r="FF21" s="14"/>
      <c r="FG21" s="14"/>
      <c r="FH21" s="238"/>
      <c r="FI21" s="14"/>
      <c r="FJ21" s="14"/>
      <c r="FK21" s="14"/>
      <c r="FL21" s="14"/>
      <c r="FM21" s="14"/>
      <c r="FN21" s="238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238"/>
      <c r="GH21" s="14"/>
      <c r="GI21" s="14"/>
      <c r="GJ21" s="14"/>
      <c r="GK21" s="14"/>
      <c r="GL21" s="14"/>
      <c r="GM21" s="238"/>
      <c r="GN21" s="14"/>
      <c r="GO21" s="14"/>
      <c r="GP21" s="14"/>
      <c r="GQ21" s="238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238"/>
      <c r="HN21" s="14"/>
      <c r="HO21" s="14"/>
      <c r="HP21" s="14"/>
      <c r="HQ21" s="14"/>
      <c r="HR21" s="14"/>
      <c r="HS21" s="238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238"/>
      <c r="IM21" s="14"/>
      <c r="IN21" s="14"/>
      <c r="IO21" s="14"/>
      <c r="IP21" s="14"/>
      <c r="IQ21" s="14"/>
      <c r="IR21" s="238"/>
      <c r="IS21" s="14"/>
      <c r="IT21" s="14"/>
      <c r="IU21" s="14"/>
      <c r="IV21" s="14"/>
      <c r="IW21" s="14"/>
      <c r="IX21" s="14"/>
      <c r="IY21" s="14"/>
      <c r="IZ21" s="14"/>
      <c r="JA21" s="14"/>
      <c r="JB21" s="14"/>
      <c r="JC21" s="14"/>
      <c r="JD21" s="14"/>
      <c r="JE21" s="14"/>
      <c r="JF21" s="14"/>
      <c r="JG21" s="14"/>
      <c r="JH21" s="14"/>
      <c r="JI21" s="14"/>
      <c r="JJ21" s="14"/>
      <c r="JK21" s="14"/>
      <c r="JL21" s="238"/>
      <c r="JM21" s="14"/>
      <c r="JN21" s="14"/>
      <c r="JO21" s="14"/>
      <c r="JP21" s="14"/>
      <c r="JQ21" s="14"/>
      <c r="JR21" s="238"/>
      <c r="JS21" s="14"/>
      <c r="JT21" s="14"/>
      <c r="JU21" s="14"/>
      <c r="JV21" s="14"/>
      <c r="JW21" s="238"/>
      <c r="JX21" s="14"/>
      <c r="JY21" s="14"/>
      <c r="JZ21" s="14" t="e">
        <f>AVERAGE(JX21:JX21)</f>
        <v>#DIV/0!</v>
      </c>
      <c r="KA21" s="14"/>
      <c r="KB21" s="14"/>
      <c r="KC21" s="14"/>
      <c r="KD21" s="14"/>
      <c r="KE21" s="14"/>
      <c r="KF21" s="14" t="e">
        <f>AVERAGE(KA21:KE21)</f>
        <v>#DIV/0!</v>
      </c>
      <c r="KG21" s="14"/>
      <c r="KH21" s="14"/>
      <c r="KI21" s="14"/>
      <c r="KJ21" s="14"/>
      <c r="KK21" s="14"/>
      <c r="KL21" s="14" t="e">
        <f>AVERAGE(KG21:KK21)</f>
        <v>#DIV/0!</v>
      </c>
      <c r="KM21" s="14"/>
      <c r="KN21" s="14"/>
      <c r="KO21" s="14"/>
      <c r="KP21" s="14"/>
      <c r="KQ21" s="14"/>
      <c r="KR21" s="238" t="e">
        <f>AVERAGE(KM21:KQ21)</f>
        <v>#DIV/0!</v>
      </c>
      <c r="KS21" s="14"/>
      <c r="KT21" s="14"/>
      <c r="KU21" s="14"/>
      <c r="KV21" s="14"/>
      <c r="KW21" s="14"/>
      <c r="KX21" s="238" t="e">
        <f>AVERAGE(KS21:KW21)</f>
        <v>#DIV/0!</v>
      </c>
      <c r="KY21" s="238"/>
      <c r="KZ21" s="14"/>
      <c r="LA21" s="14"/>
      <c r="LB21" s="14"/>
      <c r="LC21" s="14"/>
      <c r="LD21" s="14"/>
      <c r="LE21" s="14" t="e">
        <f>AVERAGE(KZ21:LD21)</f>
        <v>#DIV/0!</v>
      </c>
      <c r="LF21" s="14"/>
      <c r="LG21" s="14"/>
      <c r="LH21" s="14"/>
      <c r="LI21" s="14"/>
      <c r="LJ21" s="14"/>
      <c r="LK21" s="14" t="e">
        <f>AVERAGE(LF21:LJ21)</f>
        <v>#DIV/0!</v>
      </c>
      <c r="LL21" s="14"/>
      <c r="LM21" s="14"/>
      <c r="LN21" s="14"/>
      <c r="LO21" s="14"/>
      <c r="LP21" s="14"/>
      <c r="LQ21" s="238" t="e">
        <f>AVERAGE(LL21:LP21)</f>
        <v>#DIV/0!</v>
      </c>
      <c r="LR21" s="14"/>
      <c r="LS21" s="14"/>
      <c r="LT21" s="14"/>
      <c r="LU21" s="14"/>
      <c r="LV21" s="14"/>
      <c r="LW21" s="238" t="e">
        <f>AVERAGE(LR21:LV21)</f>
        <v>#DIV/0!</v>
      </c>
      <c r="LX21" s="14"/>
      <c r="LY21" s="14" t="e">
        <f>AVERAGE(LX21:LX21)</f>
        <v>#DIV/0!</v>
      </c>
      <c r="LZ21" s="14"/>
      <c r="MA21" s="14"/>
      <c r="MB21" s="14"/>
      <c r="MC21" s="14"/>
      <c r="MD21" s="14"/>
      <c r="ME21" s="14"/>
      <c r="MF21" s="14"/>
      <c r="MG21" s="14"/>
      <c r="MH21" s="14"/>
      <c r="MI21" s="14"/>
      <c r="MJ21" s="14"/>
      <c r="MK21" s="14"/>
      <c r="ML21" s="14"/>
      <c r="MM21" s="14"/>
      <c r="MN21" s="14"/>
      <c r="MO21" s="14"/>
      <c r="MP21" s="14"/>
      <c r="MQ21" s="238"/>
      <c r="MR21" s="14"/>
      <c r="MS21" s="14"/>
      <c r="MT21" s="14"/>
      <c r="MU21" s="14"/>
      <c r="MV21" s="14"/>
      <c r="MW21" s="238"/>
      <c r="MX21" s="14"/>
      <c r="MY21" s="14"/>
      <c r="MZ21" s="14"/>
      <c r="NA21" s="14"/>
      <c r="NB21" s="14"/>
      <c r="NC21" s="14"/>
      <c r="ND21" s="238">
        <f>(BK21+CJ21)/2</f>
        <v>4.9166666666666661</v>
      </c>
    </row>
    <row r="22" spans="1:368" x14ac:dyDescent="0.3">
      <c r="A22" s="9">
        <v>46071</v>
      </c>
      <c r="B22" s="2">
        <v>41</v>
      </c>
      <c r="C22" s="2">
        <v>183</v>
      </c>
      <c r="E22" s="2">
        <v>3</v>
      </c>
      <c r="F22" s="2">
        <v>9</v>
      </c>
      <c r="H22" s="2">
        <v>224</v>
      </c>
      <c r="I22" s="2">
        <v>12</v>
      </c>
      <c r="N22"/>
      <c r="O22"/>
      <c r="P22"/>
      <c r="AL22" s="237" t="s">
        <v>374</v>
      </c>
      <c r="AM22" s="14">
        <v>34</v>
      </c>
      <c r="AN22" s="14">
        <v>19</v>
      </c>
      <c r="AO22" s="14">
        <v>21</v>
      </c>
      <c r="AP22" s="14">
        <v>21</v>
      </c>
      <c r="AQ22" s="14">
        <v>25</v>
      </c>
      <c r="AR22" s="14">
        <f>AVERAGE(AM22:AQ22)</f>
        <v>24</v>
      </c>
      <c r="AS22" s="14">
        <v>35</v>
      </c>
      <c r="AT22" s="14">
        <v>35</v>
      </c>
      <c r="AU22" s="14">
        <v>48</v>
      </c>
      <c r="AV22" s="14">
        <v>36</v>
      </c>
      <c r="AW22" s="14">
        <v>45</v>
      </c>
      <c r="AX22" s="14">
        <f>AVERAGE(AS22:AW22)</f>
        <v>39.799999999999997</v>
      </c>
      <c r="AY22" s="14">
        <v>40</v>
      </c>
      <c r="AZ22" s="14">
        <v>40</v>
      </c>
      <c r="BA22" s="14">
        <v>30</v>
      </c>
      <c r="BB22" s="14">
        <v>44</v>
      </c>
      <c r="BC22" s="14">
        <v>38</v>
      </c>
      <c r="BD22" s="238">
        <f>AVERAGE(AY22:BC22)</f>
        <v>38.4</v>
      </c>
      <c r="BE22" s="14">
        <v>36</v>
      </c>
      <c r="BF22" s="14">
        <v>42</v>
      </c>
      <c r="BG22" s="14">
        <v>34</v>
      </c>
      <c r="BH22" s="14">
        <v>36</v>
      </c>
      <c r="BI22" s="14">
        <v>46</v>
      </c>
      <c r="BJ22" s="238">
        <f>AVERAGE(BE22:BI22)</f>
        <v>38.799999999999997</v>
      </c>
      <c r="BK22" s="238">
        <f>(AR22+AX22+BD22+BJ22)/4</f>
        <v>35.25</v>
      </c>
      <c r="BL22" s="14">
        <v>27</v>
      </c>
      <c r="BM22" s="14">
        <v>31</v>
      </c>
      <c r="BN22" s="14">
        <v>26</v>
      </c>
      <c r="BO22" s="14">
        <v>33</v>
      </c>
      <c r="BP22" s="14">
        <v>38</v>
      </c>
      <c r="BQ22" s="14">
        <f>AVERAGE(BL22:BP22)</f>
        <v>31</v>
      </c>
      <c r="BR22" s="14">
        <v>24</v>
      </c>
      <c r="BS22" s="14">
        <v>11</v>
      </c>
      <c r="BT22" s="14">
        <v>34</v>
      </c>
      <c r="BU22" s="14">
        <v>29</v>
      </c>
      <c r="BV22" s="14">
        <v>44</v>
      </c>
      <c r="BW22" s="238">
        <f>AVERAGE(BR22:BV22)</f>
        <v>28.4</v>
      </c>
      <c r="BX22" s="14">
        <v>41</v>
      </c>
      <c r="BY22" s="14">
        <v>34</v>
      </c>
      <c r="BZ22" s="14">
        <v>41</v>
      </c>
      <c r="CA22" s="14">
        <v>47</v>
      </c>
      <c r="CB22" s="14">
        <v>43</v>
      </c>
      <c r="CC22" s="238">
        <f>AVERAGE(BX22:CB22)</f>
        <v>41.2</v>
      </c>
      <c r="CD22" s="14">
        <v>0</v>
      </c>
      <c r="CE22" s="14"/>
      <c r="CF22" s="14"/>
      <c r="CG22" s="14"/>
      <c r="CH22" s="14"/>
      <c r="CI22" s="14">
        <f>AVERAGE(CD22:CH22)</f>
        <v>0</v>
      </c>
      <c r="CJ22" s="238">
        <f>(BQ22+BW22+CC22+CI22)/3</f>
        <v>33.533333333333331</v>
      </c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238"/>
      <c r="DC22" s="14"/>
      <c r="DD22" s="14"/>
      <c r="DE22" s="14"/>
      <c r="DF22" s="14"/>
      <c r="DG22" s="14"/>
      <c r="DH22" s="238"/>
      <c r="DI22" s="14"/>
      <c r="DJ22" s="14"/>
      <c r="DK22" s="14"/>
      <c r="DL22" s="238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238"/>
      <c r="EC22" s="14"/>
      <c r="ED22" s="14"/>
      <c r="EE22" s="14"/>
      <c r="EF22" s="14"/>
      <c r="EG22" s="14"/>
      <c r="EH22" s="238"/>
      <c r="EI22" s="14"/>
      <c r="EJ22" s="14"/>
      <c r="EK22" s="14"/>
      <c r="EL22" s="14"/>
      <c r="EM22" s="238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238"/>
      <c r="FC22" s="14"/>
      <c r="FD22" s="14"/>
      <c r="FE22" s="14"/>
      <c r="FF22" s="14"/>
      <c r="FG22" s="14"/>
      <c r="FH22" s="238"/>
      <c r="FI22" s="14"/>
      <c r="FJ22" s="14"/>
      <c r="FK22" s="14"/>
      <c r="FL22" s="14"/>
      <c r="FM22" s="14"/>
      <c r="FN22" s="238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238"/>
      <c r="GH22" s="14"/>
      <c r="GI22" s="14"/>
      <c r="GJ22" s="14"/>
      <c r="GK22" s="14"/>
      <c r="GL22" s="14"/>
      <c r="GM22" s="238"/>
      <c r="GN22" s="14"/>
      <c r="GO22" s="14"/>
      <c r="GP22" s="14"/>
      <c r="GQ22" s="238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238"/>
      <c r="HN22" s="14"/>
      <c r="HO22" s="14"/>
      <c r="HP22" s="14"/>
      <c r="HQ22" s="14"/>
      <c r="HR22" s="14"/>
      <c r="HS22" s="238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238"/>
      <c r="IM22" s="14"/>
      <c r="IN22" s="14"/>
      <c r="IO22" s="14"/>
      <c r="IP22" s="14"/>
      <c r="IQ22" s="14"/>
      <c r="IR22" s="238"/>
      <c r="IS22" s="14"/>
      <c r="IT22" s="14"/>
      <c r="IU22" s="14"/>
      <c r="IV22" s="14"/>
      <c r="IW22" s="14"/>
      <c r="IX22" s="14"/>
      <c r="IY22" s="14"/>
      <c r="IZ22" s="14"/>
      <c r="JA22" s="14"/>
      <c r="JB22" s="14"/>
      <c r="JC22" s="14"/>
      <c r="JD22" s="14"/>
      <c r="JE22" s="14"/>
      <c r="JF22" s="14"/>
      <c r="JG22" s="14"/>
      <c r="JH22" s="14"/>
      <c r="JI22" s="14"/>
      <c r="JJ22" s="14"/>
      <c r="JK22" s="14"/>
      <c r="JL22" s="238"/>
      <c r="JM22" s="14"/>
      <c r="JN22" s="14"/>
      <c r="JO22" s="14"/>
      <c r="JP22" s="14"/>
      <c r="JQ22" s="14"/>
      <c r="JR22" s="238"/>
      <c r="JS22" s="14"/>
      <c r="JT22" s="14"/>
      <c r="JU22" s="14"/>
      <c r="JV22" s="14"/>
      <c r="JW22" s="238"/>
      <c r="JX22" s="14"/>
      <c r="JY22" s="14"/>
      <c r="JZ22" s="14" t="e">
        <f>AVERAGE(JX22:JX22)</f>
        <v>#DIV/0!</v>
      </c>
      <c r="KA22" s="14"/>
      <c r="KB22" s="14"/>
      <c r="KC22" s="14"/>
      <c r="KD22" s="14"/>
      <c r="KE22" s="14"/>
      <c r="KF22" s="14" t="e">
        <f>AVERAGE(KA22:KE22)</f>
        <v>#DIV/0!</v>
      </c>
      <c r="KG22" s="14"/>
      <c r="KH22" s="14"/>
      <c r="KI22" s="14"/>
      <c r="KJ22" s="14"/>
      <c r="KK22" s="14"/>
      <c r="KL22" s="14" t="e">
        <f>AVERAGE(KG22:KK22)</f>
        <v>#DIV/0!</v>
      </c>
      <c r="KM22" s="14"/>
      <c r="KN22" s="14"/>
      <c r="KO22" s="14"/>
      <c r="KP22" s="14"/>
      <c r="KQ22" s="14"/>
      <c r="KR22" s="238" t="e">
        <f>AVERAGE(KM22:KQ22)</f>
        <v>#DIV/0!</v>
      </c>
      <c r="KS22" s="14"/>
      <c r="KT22" s="14"/>
      <c r="KU22" s="14"/>
      <c r="KV22" s="14"/>
      <c r="KW22" s="14"/>
      <c r="KX22" s="238" t="e">
        <f>AVERAGE(KS22:KW22)</f>
        <v>#DIV/0!</v>
      </c>
      <c r="KY22" s="238"/>
      <c r="KZ22" s="14"/>
      <c r="LA22" s="14"/>
      <c r="LB22" s="14"/>
      <c r="LC22" s="14"/>
      <c r="LD22" s="14"/>
      <c r="LE22" s="14" t="e">
        <f>AVERAGE(KZ22:LD22)</f>
        <v>#DIV/0!</v>
      </c>
      <c r="LF22" s="14"/>
      <c r="LG22" s="14"/>
      <c r="LH22" s="14"/>
      <c r="LI22" s="14"/>
      <c r="LJ22" s="14"/>
      <c r="LK22" s="14" t="e">
        <f>AVERAGE(LF22:LJ22)</f>
        <v>#DIV/0!</v>
      </c>
      <c r="LL22" s="14"/>
      <c r="LM22" s="14"/>
      <c r="LN22" s="14"/>
      <c r="LO22" s="14"/>
      <c r="LP22" s="14"/>
      <c r="LQ22" s="238" t="e">
        <f>AVERAGE(LL22:LP22)</f>
        <v>#DIV/0!</v>
      </c>
      <c r="LR22" s="14"/>
      <c r="LS22" s="14"/>
      <c r="LT22" s="14"/>
      <c r="LU22" s="14"/>
      <c r="LV22" s="14"/>
      <c r="LW22" s="238" t="e">
        <f>AVERAGE(LR22:LV22)</f>
        <v>#DIV/0!</v>
      </c>
      <c r="LX22" s="14"/>
      <c r="LY22" s="14" t="e">
        <f>AVERAGE(LX22:LX22)</f>
        <v>#DIV/0!</v>
      </c>
      <c r="LZ22" s="14"/>
      <c r="MA22" s="14"/>
      <c r="MB22" s="14"/>
      <c r="MC22" s="14"/>
      <c r="MD22" s="14"/>
      <c r="ME22" s="14"/>
      <c r="MF22" s="14"/>
      <c r="MG22" s="14"/>
      <c r="MH22" s="14"/>
      <c r="MI22" s="14"/>
      <c r="MJ22" s="14"/>
      <c r="MK22" s="14"/>
      <c r="ML22" s="14"/>
      <c r="MM22" s="14"/>
      <c r="MN22" s="14"/>
      <c r="MO22" s="14"/>
      <c r="MP22" s="14"/>
      <c r="MQ22" s="238"/>
      <c r="MR22" s="14"/>
      <c r="MS22" s="14"/>
      <c r="MT22" s="14"/>
      <c r="MU22" s="14"/>
      <c r="MV22" s="14"/>
      <c r="MW22" s="238"/>
      <c r="MX22" s="14"/>
      <c r="MY22" s="14"/>
      <c r="MZ22" s="14"/>
      <c r="NA22" s="14"/>
      <c r="NB22" s="14"/>
      <c r="NC22" s="14"/>
      <c r="ND22" s="238">
        <f>(BK22+CJ22)/2</f>
        <v>34.391666666666666</v>
      </c>
    </row>
    <row r="23" spans="1:368" x14ac:dyDescent="0.3">
      <c r="A23" s="9">
        <v>46072</v>
      </c>
      <c r="B23" s="2">
        <v>47</v>
      </c>
      <c r="C23" s="2">
        <v>197</v>
      </c>
      <c r="E23" s="2">
        <v>6</v>
      </c>
      <c r="F23" s="2">
        <v>5</v>
      </c>
      <c r="H23" s="2">
        <v>244</v>
      </c>
      <c r="I23" s="2">
        <v>11</v>
      </c>
      <c r="N23"/>
      <c r="O23"/>
      <c r="P23"/>
      <c r="AL23" s="237" t="s">
        <v>617</v>
      </c>
      <c r="AM23" s="14">
        <v>8</v>
      </c>
      <c r="AN23" s="14">
        <v>3</v>
      </c>
      <c r="AO23" s="14">
        <v>12</v>
      </c>
      <c r="AP23" s="14">
        <v>12</v>
      </c>
      <c r="AQ23" s="14">
        <v>7</v>
      </c>
      <c r="AR23" s="238">
        <f>SUM(AM23:AQ23)</f>
        <v>42</v>
      </c>
      <c r="AS23" s="14">
        <v>8</v>
      </c>
      <c r="AT23" s="14">
        <v>9</v>
      </c>
      <c r="AU23" s="14">
        <v>8</v>
      </c>
      <c r="AV23" s="14">
        <v>6</v>
      </c>
      <c r="AW23" s="14">
        <v>11</v>
      </c>
      <c r="AX23" s="238">
        <f>SUM(AS23:AW23)</f>
        <v>42</v>
      </c>
      <c r="AY23" s="14">
        <v>4</v>
      </c>
      <c r="AZ23" s="14">
        <v>1</v>
      </c>
      <c r="BA23" s="14">
        <v>4</v>
      </c>
      <c r="BB23" s="14">
        <v>4</v>
      </c>
      <c r="BC23" s="14">
        <v>7</v>
      </c>
      <c r="BD23" s="238">
        <f>SUM(AY23:BC23)</f>
        <v>20</v>
      </c>
      <c r="BE23" s="14">
        <v>11</v>
      </c>
      <c r="BF23" s="14">
        <v>9</v>
      </c>
      <c r="BG23" s="14">
        <v>10</v>
      </c>
      <c r="BH23" s="14">
        <v>4</v>
      </c>
      <c r="BI23" s="14">
        <v>3</v>
      </c>
      <c r="BJ23" s="238">
        <f>SUM(BE23:BI23)</f>
        <v>37</v>
      </c>
      <c r="BK23" s="238">
        <f>(AR23+AX23+BD23+BJ23)</f>
        <v>141</v>
      </c>
      <c r="BL23" s="14">
        <v>4</v>
      </c>
      <c r="BM23" s="14">
        <v>5</v>
      </c>
      <c r="BN23" s="14">
        <v>7</v>
      </c>
      <c r="BO23" s="14">
        <v>9</v>
      </c>
      <c r="BP23" s="14">
        <v>6</v>
      </c>
      <c r="BQ23" s="238">
        <f>SUM(BL23:BP23)</f>
        <v>31</v>
      </c>
      <c r="BR23" s="14">
        <v>9</v>
      </c>
      <c r="BS23" s="14">
        <v>7</v>
      </c>
      <c r="BT23" s="14">
        <v>5</v>
      </c>
      <c r="BU23" s="14">
        <v>4</v>
      </c>
      <c r="BV23" s="14">
        <v>4</v>
      </c>
      <c r="BW23" s="238">
        <f>SUM(BR23:BV23)</f>
        <v>29</v>
      </c>
      <c r="BX23" s="14">
        <v>7</v>
      </c>
      <c r="BY23" s="14">
        <v>11</v>
      </c>
      <c r="BZ23" s="14">
        <v>9</v>
      </c>
      <c r="CA23" s="14">
        <v>5</v>
      </c>
      <c r="CB23" s="14">
        <v>9</v>
      </c>
      <c r="CC23" s="238">
        <f>SUM(BX23:CB23)</f>
        <v>41</v>
      </c>
      <c r="CD23" s="14">
        <v>0</v>
      </c>
      <c r="CE23" s="14"/>
      <c r="CF23" s="14"/>
      <c r="CG23" s="14"/>
      <c r="CH23" s="14"/>
      <c r="CI23" s="238">
        <f>SUM(CD23:CH23)</f>
        <v>0</v>
      </c>
      <c r="CJ23" s="238">
        <f>(BQ23+BW23+CC23+CI23)</f>
        <v>101</v>
      </c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238"/>
      <c r="DC23" s="14"/>
      <c r="DD23" s="14"/>
      <c r="DE23" s="14"/>
      <c r="DF23" s="14"/>
      <c r="DG23" s="14"/>
      <c r="DH23" s="238"/>
      <c r="DI23" s="14"/>
      <c r="DJ23" s="14"/>
      <c r="DK23" s="14"/>
      <c r="DL23" s="238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238"/>
      <c r="EC23" s="14"/>
      <c r="ED23" s="14"/>
      <c r="EE23" s="14"/>
      <c r="EF23" s="14"/>
      <c r="EG23" s="14"/>
      <c r="EH23" s="238"/>
      <c r="EI23" s="14"/>
      <c r="EJ23" s="14"/>
      <c r="EK23" s="14"/>
      <c r="EL23" s="14"/>
      <c r="EM23" s="238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238"/>
      <c r="FC23" s="14"/>
      <c r="FD23" s="14"/>
      <c r="FE23" s="14"/>
      <c r="FF23" s="14"/>
      <c r="FG23" s="14"/>
      <c r="FH23" s="238"/>
      <c r="FI23" s="14"/>
      <c r="FJ23" s="14"/>
      <c r="FK23" s="14"/>
      <c r="FL23" s="14"/>
      <c r="FM23" s="14"/>
      <c r="FN23" s="238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238"/>
      <c r="GH23" s="14"/>
      <c r="GI23" s="14"/>
      <c r="GJ23" s="14"/>
      <c r="GK23" s="14"/>
      <c r="GL23" s="14"/>
      <c r="GM23" s="238"/>
      <c r="GN23" s="14"/>
      <c r="GO23" s="14"/>
      <c r="GP23" s="14"/>
      <c r="GQ23" s="238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238"/>
      <c r="HN23" s="14"/>
      <c r="HO23" s="14"/>
      <c r="HP23" s="14"/>
      <c r="HQ23" s="14"/>
      <c r="HR23" s="14"/>
      <c r="HS23" s="238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238"/>
      <c r="IM23" s="14"/>
      <c r="IN23" s="14"/>
      <c r="IO23" s="14"/>
      <c r="IP23" s="14"/>
      <c r="IQ23" s="14"/>
      <c r="IR23" s="238"/>
      <c r="IS23" s="14"/>
      <c r="IT23" s="14"/>
      <c r="IU23" s="14"/>
      <c r="IV23" s="14"/>
      <c r="IW23" s="14"/>
      <c r="IX23" s="14"/>
      <c r="IY23" s="14"/>
      <c r="IZ23" s="14"/>
      <c r="JA23" s="14"/>
      <c r="JB23" s="14"/>
      <c r="JC23" s="14"/>
      <c r="JD23" s="14"/>
      <c r="JE23" s="14"/>
      <c r="JF23" s="14"/>
      <c r="JG23" s="14"/>
      <c r="JH23" s="14"/>
      <c r="JI23" s="14"/>
      <c r="JJ23" s="14"/>
      <c r="JK23" s="14"/>
      <c r="JL23" s="238"/>
      <c r="JM23" s="14"/>
      <c r="JN23" s="14"/>
      <c r="JO23" s="14"/>
      <c r="JP23" s="14"/>
      <c r="JQ23" s="14"/>
      <c r="JR23" s="238"/>
      <c r="JS23" s="14"/>
      <c r="JT23" s="14"/>
      <c r="JU23" s="14"/>
      <c r="JV23" s="14"/>
      <c r="JW23" s="238"/>
      <c r="JX23" s="14"/>
      <c r="JY23" s="14"/>
      <c r="JZ23" s="14" t="e">
        <f>AVERAGE(JX23:JX23)</f>
        <v>#DIV/0!</v>
      </c>
      <c r="KA23" s="14"/>
      <c r="KB23" s="14"/>
      <c r="KC23" s="14"/>
      <c r="KD23" s="14"/>
      <c r="KE23" s="14"/>
      <c r="KF23" s="14" t="e">
        <f>AVERAGE(KA23:KE23)</f>
        <v>#DIV/0!</v>
      </c>
      <c r="KG23" s="14"/>
      <c r="KH23" s="14"/>
      <c r="KI23" s="14"/>
      <c r="KJ23" s="14"/>
      <c r="KK23" s="14"/>
      <c r="KL23" s="14" t="e">
        <f>AVERAGE(KG23:KK23)</f>
        <v>#DIV/0!</v>
      </c>
      <c r="KM23" s="14"/>
      <c r="KN23" s="14"/>
      <c r="KO23" s="14"/>
      <c r="KP23" s="14"/>
      <c r="KQ23" s="14"/>
      <c r="KR23" s="238" t="e">
        <f>AVERAGE(KM23:KQ23)</f>
        <v>#DIV/0!</v>
      </c>
      <c r="KS23" s="14"/>
      <c r="KT23" s="14"/>
      <c r="KU23" s="14"/>
      <c r="KV23" s="14"/>
      <c r="KW23" s="14"/>
      <c r="KX23" s="238" t="e">
        <f>AVERAGE(KS23:KW23)</f>
        <v>#DIV/0!</v>
      </c>
      <c r="KY23" s="238"/>
      <c r="KZ23" s="14"/>
      <c r="LA23" s="14"/>
      <c r="LB23" s="14"/>
      <c r="LC23" s="14"/>
      <c r="LD23" s="14"/>
      <c r="LE23" s="14" t="e">
        <f>AVERAGE(KZ23:LD23)</f>
        <v>#DIV/0!</v>
      </c>
      <c r="LF23" s="14"/>
      <c r="LG23" s="14"/>
      <c r="LH23" s="14"/>
      <c r="LI23" s="14"/>
      <c r="LJ23" s="14"/>
      <c r="LK23" s="14" t="e">
        <f>AVERAGE(LF23:LJ23)</f>
        <v>#DIV/0!</v>
      </c>
      <c r="LL23" s="14"/>
      <c r="LM23" s="14"/>
      <c r="LN23" s="14"/>
      <c r="LO23" s="14"/>
      <c r="LP23" s="14"/>
      <c r="LQ23" s="238" t="e">
        <f>AVERAGE(LL23:LP23)</f>
        <v>#DIV/0!</v>
      </c>
      <c r="LR23" s="14"/>
      <c r="LS23" s="14"/>
      <c r="LT23" s="14"/>
      <c r="LU23" s="14"/>
      <c r="LV23" s="14"/>
      <c r="LW23" s="238" t="e">
        <f>AVERAGE(LR23:LV23)</f>
        <v>#DIV/0!</v>
      </c>
      <c r="LX23" s="14"/>
      <c r="LY23" s="14" t="e">
        <f>AVERAGE(LX23:LX23)</f>
        <v>#DIV/0!</v>
      </c>
      <c r="LZ23" s="14"/>
      <c r="MA23" s="14"/>
      <c r="MB23" s="14"/>
      <c r="MC23" s="14"/>
      <c r="MD23" s="14"/>
      <c r="ME23" s="14"/>
      <c r="MF23" s="14"/>
      <c r="MG23" s="14"/>
      <c r="MH23" s="14"/>
      <c r="MI23" s="14"/>
      <c r="MJ23" s="14"/>
      <c r="MK23" s="14"/>
      <c r="ML23" s="14"/>
      <c r="MM23" s="14"/>
      <c r="MN23" s="14"/>
      <c r="MO23" s="14"/>
      <c r="MP23" s="14"/>
      <c r="MQ23" s="238"/>
      <c r="MR23" s="14"/>
      <c r="MS23" s="14"/>
      <c r="MT23" s="14"/>
      <c r="MU23" s="14"/>
      <c r="MV23" s="14"/>
      <c r="MW23" s="238"/>
      <c r="MX23" s="14"/>
      <c r="MY23" s="14"/>
      <c r="MZ23" s="14"/>
      <c r="NA23" s="14"/>
      <c r="NB23" s="14"/>
      <c r="NC23" s="14"/>
      <c r="ND23" s="238">
        <f>NC23+LZ23+KY23+JW23+IU23+HT23+GQ23+FO23+EN23+DL23+CJ23+BK23</f>
        <v>242</v>
      </c>
    </row>
    <row r="24" spans="1:368" x14ac:dyDescent="0.3">
      <c r="A24" s="9">
        <v>46073</v>
      </c>
      <c r="B24" s="2">
        <v>43</v>
      </c>
      <c r="C24" s="2">
        <v>173</v>
      </c>
      <c r="E24" s="2">
        <v>2</v>
      </c>
      <c r="F24" s="2">
        <v>9</v>
      </c>
      <c r="H24" s="2">
        <v>216</v>
      </c>
      <c r="I24" s="2">
        <v>11</v>
      </c>
      <c r="N24"/>
      <c r="O24"/>
      <c r="P24"/>
      <c r="AL24" s="237" t="s">
        <v>618</v>
      </c>
      <c r="AM24" s="14">
        <v>9</v>
      </c>
      <c r="AN24" s="14">
        <v>3</v>
      </c>
      <c r="AO24" s="14">
        <v>2</v>
      </c>
      <c r="AP24" s="14">
        <v>1</v>
      </c>
      <c r="AQ24" s="14">
        <v>7</v>
      </c>
      <c r="AR24" s="238">
        <f>SUM(AM24:AQ24)</f>
        <v>22</v>
      </c>
      <c r="AS24" s="14">
        <v>3</v>
      </c>
      <c r="AT24" s="14">
        <v>5</v>
      </c>
      <c r="AU24" s="14">
        <v>6</v>
      </c>
      <c r="AV24" s="14">
        <v>3</v>
      </c>
      <c r="AW24" s="14">
        <v>6</v>
      </c>
      <c r="AX24" s="238">
        <f>SUM(AS24:AW24)</f>
        <v>23</v>
      </c>
      <c r="AY24" s="14">
        <v>2</v>
      </c>
      <c r="AZ24" s="14">
        <v>3</v>
      </c>
      <c r="BA24" s="14">
        <v>2</v>
      </c>
      <c r="BB24" s="14">
        <v>4</v>
      </c>
      <c r="BC24" s="14">
        <v>4</v>
      </c>
      <c r="BD24" s="238">
        <f>SUM(AY24:BC24)</f>
        <v>15</v>
      </c>
      <c r="BE24" s="14">
        <v>2</v>
      </c>
      <c r="BF24" s="14">
        <v>5</v>
      </c>
      <c r="BG24" s="14">
        <v>5</v>
      </c>
      <c r="BH24" s="14">
        <v>2</v>
      </c>
      <c r="BI24" s="14">
        <v>5</v>
      </c>
      <c r="BJ24" s="238">
        <f>SUM(BE24:BI24)</f>
        <v>19</v>
      </c>
      <c r="BK24" s="238">
        <f>(AR24+AX24+BD24+BJ24)</f>
        <v>79</v>
      </c>
      <c r="BL24" s="14">
        <v>1</v>
      </c>
      <c r="BM24" s="14">
        <v>3</v>
      </c>
      <c r="BN24" s="14">
        <v>3</v>
      </c>
      <c r="BO24" s="14">
        <v>0</v>
      </c>
      <c r="BP24" s="14">
        <v>3</v>
      </c>
      <c r="BQ24" s="238">
        <f>SUM(BL24:BP24)</f>
        <v>10</v>
      </c>
      <c r="BR24" s="14">
        <v>1</v>
      </c>
      <c r="BS24" s="14">
        <v>3</v>
      </c>
      <c r="BT24" s="14">
        <v>4</v>
      </c>
      <c r="BU24" s="14">
        <v>4</v>
      </c>
      <c r="BV24" s="14">
        <v>3</v>
      </c>
      <c r="BW24" s="238">
        <f>SUM(BR24:BV24)</f>
        <v>15</v>
      </c>
      <c r="BX24" s="14">
        <v>4</v>
      </c>
      <c r="BY24" s="14">
        <v>3</v>
      </c>
      <c r="BZ24" s="14">
        <v>3</v>
      </c>
      <c r="CA24" s="14">
        <v>6</v>
      </c>
      <c r="CB24" s="14">
        <v>2</v>
      </c>
      <c r="CC24" s="238">
        <f>SUM(BX24:CB24)</f>
        <v>18</v>
      </c>
      <c r="CD24" s="14">
        <v>0</v>
      </c>
      <c r="CE24" s="14"/>
      <c r="CF24" s="14"/>
      <c r="CG24" s="14"/>
      <c r="CH24" s="14"/>
      <c r="CI24" s="238">
        <f>SUM(CD24:CH24)</f>
        <v>0</v>
      </c>
      <c r="CJ24" s="238">
        <f>(BQ24+BW24+CC24+CI24)</f>
        <v>43</v>
      </c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238"/>
      <c r="DC24" s="14"/>
      <c r="DD24" s="14"/>
      <c r="DE24" s="14"/>
      <c r="DF24" s="14"/>
      <c r="DG24" s="14"/>
      <c r="DH24" s="238"/>
      <c r="DI24" s="14"/>
      <c r="DJ24" s="14"/>
      <c r="DK24" s="14"/>
      <c r="DL24" s="238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238"/>
      <c r="EC24" s="14"/>
      <c r="ED24" s="14"/>
      <c r="EE24" s="14"/>
      <c r="EF24" s="14"/>
      <c r="EG24" s="14"/>
      <c r="EH24" s="238"/>
      <c r="EI24" s="14"/>
      <c r="EJ24" s="14"/>
      <c r="EK24" s="14"/>
      <c r="EL24" s="14"/>
      <c r="EM24" s="238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238"/>
      <c r="FC24" s="14"/>
      <c r="FD24" s="14"/>
      <c r="FE24" s="14"/>
      <c r="FF24" s="14"/>
      <c r="FG24" s="14"/>
      <c r="FH24" s="238"/>
      <c r="FI24" s="14"/>
      <c r="FJ24" s="14"/>
      <c r="FK24" s="14"/>
      <c r="FL24" s="14"/>
      <c r="FM24" s="14"/>
      <c r="FN24" s="238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238"/>
      <c r="GH24" s="14"/>
      <c r="GI24" s="14"/>
      <c r="GJ24" s="14"/>
      <c r="GK24" s="14"/>
      <c r="GL24" s="14"/>
      <c r="GM24" s="238"/>
      <c r="GN24" s="14"/>
      <c r="GO24" s="14"/>
      <c r="GP24" s="14"/>
      <c r="GQ24" s="238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238"/>
      <c r="HN24" s="14"/>
      <c r="HO24" s="14"/>
      <c r="HP24" s="14"/>
      <c r="HQ24" s="14"/>
      <c r="HR24" s="14"/>
      <c r="HS24" s="238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238"/>
      <c r="IM24" s="14"/>
      <c r="IN24" s="14"/>
      <c r="IO24" s="14"/>
      <c r="IP24" s="14"/>
      <c r="IQ24" s="14"/>
      <c r="IR24" s="238"/>
      <c r="IS24" s="14"/>
      <c r="IT24" s="14"/>
      <c r="IU24" s="14"/>
      <c r="IV24" s="14"/>
      <c r="IW24" s="14"/>
      <c r="IX24" s="14"/>
      <c r="IY24" s="14"/>
      <c r="IZ24" s="14"/>
      <c r="JA24" s="14"/>
      <c r="JB24" s="14"/>
      <c r="JC24" s="14"/>
      <c r="JD24" s="14"/>
      <c r="JE24" s="14"/>
      <c r="JF24" s="14"/>
      <c r="JG24" s="14"/>
      <c r="JH24" s="14"/>
      <c r="JI24" s="14"/>
      <c r="JJ24" s="14"/>
      <c r="JK24" s="14"/>
      <c r="JL24" s="238"/>
      <c r="JM24" s="14"/>
      <c r="JN24" s="14"/>
      <c r="JO24" s="14"/>
      <c r="JP24" s="14"/>
      <c r="JQ24" s="14"/>
      <c r="JR24" s="238"/>
      <c r="JS24" s="14"/>
      <c r="JT24" s="14"/>
      <c r="JU24" s="14"/>
      <c r="JV24" s="14"/>
      <c r="JW24" s="238"/>
      <c r="JX24" s="14"/>
      <c r="JY24" s="14"/>
      <c r="JZ24" s="14" t="e">
        <f>AVERAGE(JX24:JX24)</f>
        <v>#DIV/0!</v>
      </c>
      <c r="KA24" s="14"/>
      <c r="KB24" s="14"/>
      <c r="KC24" s="14"/>
      <c r="KD24" s="14"/>
      <c r="KE24" s="14"/>
      <c r="KF24" s="14" t="e">
        <f>AVERAGE(KA24:KE24)</f>
        <v>#DIV/0!</v>
      </c>
      <c r="KG24" s="14"/>
      <c r="KH24" s="14"/>
      <c r="KI24" s="14"/>
      <c r="KJ24" s="14"/>
      <c r="KK24" s="14"/>
      <c r="KL24" s="14" t="e">
        <f>AVERAGE(KG24:KK24)</f>
        <v>#DIV/0!</v>
      </c>
      <c r="KM24" s="14"/>
      <c r="KN24" s="14"/>
      <c r="KO24" s="14"/>
      <c r="KP24" s="14"/>
      <c r="KQ24" s="14"/>
      <c r="KR24" s="238" t="e">
        <f>AVERAGE(KM24:KQ24)</f>
        <v>#DIV/0!</v>
      </c>
      <c r="KS24" s="14"/>
      <c r="KT24" s="14"/>
      <c r="KU24" s="14"/>
      <c r="KV24" s="14"/>
      <c r="KW24" s="14"/>
      <c r="KX24" s="238" t="e">
        <f>AVERAGE(KS24:KW24)</f>
        <v>#DIV/0!</v>
      </c>
      <c r="KY24" s="238"/>
      <c r="KZ24" s="14"/>
      <c r="LA24" s="14"/>
      <c r="LB24" s="14"/>
      <c r="LC24" s="14"/>
      <c r="LD24" s="14"/>
      <c r="LE24" s="14" t="e">
        <f>AVERAGE(KZ24:LD24)</f>
        <v>#DIV/0!</v>
      </c>
      <c r="LF24" s="14"/>
      <c r="LG24" s="14"/>
      <c r="LH24" s="14"/>
      <c r="LI24" s="14"/>
      <c r="LJ24" s="14"/>
      <c r="LK24" s="14" t="e">
        <f>AVERAGE(LF24:LJ24)</f>
        <v>#DIV/0!</v>
      </c>
      <c r="LL24" s="14"/>
      <c r="LM24" s="14"/>
      <c r="LN24" s="14"/>
      <c r="LO24" s="14"/>
      <c r="LP24" s="14"/>
      <c r="LQ24" s="238" t="e">
        <f>AVERAGE(LL24:LP24)</f>
        <v>#DIV/0!</v>
      </c>
      <c r="LR24" s="14"/>
      <c r="LS24" s="14"/>
      <c r="LT24" s="14"/>
      <c r="LU24" s="14"/>
      <c r="LV24" s="14"/>
      <c r="LW24" s="238" t="e">
        <f>AVERAGE(LR24:LV24)</f>
        <v>#DIV/0!</v>
      </c>
      <c r="LX24" s="14"/>
      <c r="LY24" s="14" t="e">
        <f>AVERAGE(LX24:LX24)</f>
        <v>#DIV/0!</v>
      </c>
      <c r="LZ24" s="14"/>
      <c r="MA24" s="14"/>
      <c r="MB24" s="14"/>
      <c r="MC24" s="14"/>
      <c r="MD24" s="14"/>
      <c r="ME24" s="14"/>
      <c r="MF24" s="14"/>
      <c r="MG24" s="14"/>
      <c r="MH24" s="14"/>
      <c r="MI24" s="14"/>
      <c r="MJ24" s="14"/>
      <c r="MK24" s="14"/>
      <c r="ML24" s="14"/>
      <c r="MM24" s="14"/>
      <c r="MN24" s="14"/>
      <c r="MO24" s="14"/>
      <c r="MP24" s="14"/>
      <c r="MQ24" s="238"/>
      <c r="MR24" s="14"/>
      <c r="MS24" s="14"/>
      <c r="MT24" s="14"/>
      <c r="MU24" s="14"/>
      <c r="MV24" s="14"/>
      <c r="MW24" s="238"/>
      <c r="MX24" s="14"/>
      <c r="MY24" s="14"/>
      <c r="MZ24" s="14"/>
      <c r="NA24" s="14"/>
      <c r="NB24" s="14"/>
      <c r="NC24" s="14"/>
      <c r="ND24" s="238">
        <f>NC24+LZ24+KY24+JW24+IU24+HT24+GQ24+FO24+EN24+DL24+CJ24+BK24</f>
        <v>122</v>
      </c>
    </row>
    <row r="25" spans="1:368" x14ac:dyDescent="0.3">
      <c r="A25" s="2" t="s">
        <v>32</v>
      </c>
      <c r="B25" s="2">
        <v>453</v>
      </c>
      <c r="C25" s="2">
        <v>6296</v>
      </c>
      <c r="D25" s="2">
        <v>50</v>
      </c>
      <c r="E25" s="2">
        <v>100</v>
      </c>
      <c r="F25" s="2">
        <v>245</v>
      </c>
      <c r="G25" s="2">
        <v>16</v>
      </c>
      <c r="H25" s="2">
        <v>6799</v>
      </c>
      <c r="I25" s="2">
        <v>361</v>
      </c>
      <c r="N25"/>
      <c r="O25"/>
      <c r="P25"/>
      <c r="AL25" s="237" t="s">
        <v>430</v>
      </c>
      <c r="AM25" s="14">
        <v>173</v>
      </c>
      <c r="AN25" s="14">
        <v>296</v>
      </c>
      <c r="AO25" s="14">
        <v>394</v>
      </c>
      <c r="AP25" s="14">
        <v>160</v>
      </c>
      <c r="AQ25" s="14">
        <v>150</v>
      </c>
      <c r="AR25" s="238">
        <f>SUM(AM25:AQ25)</f>
        <v>1173</v>
      </c>
      <c r="AS25" s="14">
        <v>233</v>
      </c>
      <c r="AT25" s="14">
        <v>220</v>
      </c>
      <c r="AU25" s="14">
        <v>171</v>
      </c>
      <c r="AV25" s="14">
        <v>179</v>
      </c>
      <c r="AW25" s="14">
        <v>152</v>
      </c>
      <c r="AX25" s="238">
        <f>SUM(AS25:AW25)</f>
        <v>955</v>
      </c>
      <c r="AY25" s="14">
        <v>118</v>
      </c>
      <c r="AZ25" s="14">
        <v>13</v>
      </c>
      <c r="BA25" s="14">
        <v>146</v>
      </c>
      <c r="BB25" s="14">
        <v>144</v>
      </c>
      <c r="BC25" s="14">
        <v>156</v>
      </c>
      <c r="BD25" s="238">
        <f>SUM(AY25:BC25)</f>
        <v>577</v>
      </c>
      <c r="BE25" s="14">
        <v>214</v>
      </c>
      <c r="BF25" s="14">
        <v>185</v>
      </c>
      <c r="BG25" s="14">
        <v>164</v>
      </c>
      <c r="BH25" s="14">
        <v>154</v>
      </c>
      <c r="BI25" s="14">
        <v>189</v>
      </c>
      <c r="BJ25" s="238">
        <f>SUM(BE25:BI25)</f>
        <v>906</v>
      </c>
      <c r="BK25" s="238">
        <f>BJ25+BD25+AX25+AR25</f>
        <v>3611</v>
      </c>
      <c r="BL25" s="14">
        <v>213</v>
      </c>
      <c r="BM25" s="14">
        <v>207</v>
      </c>
      <c r="BN25" s="14">
        <v>160</v>
      </c>
      <c r="BO25" s="14">
        <v>244</v>
      </c>
      <c r="BP25" s="14">
        <v>128</v>
      </c>
      <c r="BQ25" s="238">
        <f>SUM(BL25:BP25)</f>
        <v>952</v>
      </c>
      <c r="BR25" s="14">
        <v>132</v>
      </c>
      <c r="BS25" s="14">
        <v>131</v>
      </c>
      <c r="BT25" s="14">
        <v>222</v>
      </c>
      <c r="BU25" s="14">
        <v>190</v>
      </c>
      <c r="BV25" s="14">
        <v>136</v>
      </c>
      <c r="BW25" s="238">
        <f>SUM(BR25:BV25)</f>
        <v>811</v>
      </c>
      <c r="BX25" s="14">
        <v>213</v>
      </c>
      <c r="BY25" s="14">
        <v>208</v>
      </c>
      <c r="BZ25" s="14">
        <v>183</v>
      </c>
      <c r="CA25" s="14">
        <v>197</v>
      </c>
      <c r="CB25" s="14">
        <v>173</v>
      </c>
      <c r="CC25" s="238">
        <f>SUM(BX25:CB25)</f>
        <v>974</v>
      </c>
      <c r="CD25" s="14"/>
      <c r="CE25" s="14"/>
      <c r="CF25" s="14"/>
      <c r="CG25" s="14"/>
      <c r="CH25" s="14"/>
      <c r="CI25" s="238">
        <f>SUM(CD25:CH25)</f>
        <v>0</v>
      </c>
      <c r="CJ25" s="238">
        <f>CI25+CC25+BW25+BQ25</f>
        <v>2737</v>
      </c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  <c r="JA25" s="14"/>
      <c r="JB25" s="14"/>
      <c r="JC25" s="14"/>
      <c r="JD25" s="14"/>
      <c r="JE25" s="14"/>
      <c r="JF25" s="14"/>
      <c r="JG25" s="14"/>
      <c r="JH25" s="14"/>
      <c r="JI25" s="14"/>
      <c r="JJ25" s="14"/>
      <c r="JK25" s="14"/>
      <c r="JL25" s="14"/>
      <c r="JM25" s="14"/>
      <c r="JN25" s="14"/>
      <c r="JO25" s="14"/>
      <c r="JP25" s="14"/>
      <c r="JQ25" s="14"/>
      <c r="JR25" s="14"/>
      <c r="JS25" s="14"/>
      <c r="JT25" s="14"/>
      <c r="JU25" s="14"/>
      <c r="JV25" s="14"/>
      <c r="JW25" s="14"/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4"/>
      <c r="KQ25" s="14"/>
      <c r="KR25" s="14"/>
      <c r="KS25" s="14"/>
      <c r="KT25" s="14"/>
      <c r="KU25" s="14"/>
      <c r="KV25" s="14"/>
      <c r="KW25" s="14"/>
      <c r="KX25" s="14"/>
      <c r="KY25" s="14"/>
      <c r="KZ25" s="14"/>
      <c r="LA25" s="14"/>
      <c r="LB25" s="14"/>
      <c r="LC25" s="14"/>
      <c r="LD25" s="14"/>
      <c r="LE25" s="14"/>
      <c r="LF25" s="14"/>
      <c r="LG25" s="14"/>
      <c r="LH25" s="14"/>
      <c r="LI25" s="14"/>
      <c r="LJ25" s="14"/>
      <c r="LK25" s="14"/>
      <c r="LL25" s="14"/>
      <c r="LM25" s="14"/>
      <c r="LN25" s="14"/>
      <c r="LO25" s="14"/>
      <c r="LP25" s="14"/>
      <c r="LQ25" s="14"/>
      <c r="LR25" s="14"/>
      <c r="LS25" s="14"/>
      <c r="LT25" s="14"/>
      <c r="LU25" s="14"/>
      <c r="LV25" s="14"/>
      <c r="LW25" s="14"/>
      <c r="LX25" s="14"/>
      <c r="LY25" s="14"/>
      <c r="LZ25" s="14"/>
      <c r="MA25" s="14"/>
      <c r="MB25" s="14"/>
      <c r="MC25" s="14"/>
      <c r="MD25" s="14"/>
      <c r="ME25" s="14"/>
      <c r="MF25" s="14"/>
      <c r="MG25" s="14"/>
      <c r="MH25" s="14"/>
      <c r="MI25" s="14"/>
      <c r="MJ25" s="14"/>
      <c r="MK25" s="14"/>
      <c r="ML25" s="14"/>
      <c r="MM25" s="14"/>
      <c r="MN25" s="14"/>
      <c r="MO25" s="14"/>
      <c r="MP25" s="14"/>
      <c r="MQ25" s="14"/>
      <c r="MR25" s="14"/>
      <c r="MS25" s="14"/>
      <c r="MT25" s="14"/>
      <c r="MU25" s="14"/>
      <c r="MV25" s="14"/>
      <c r="MW25" s="14"/>
      <c r="MX25" s="14"/>
      <c r="MY25" s="14"/>
      <c r="MZ25" s="14"/>
      <c r="NA25" s="14"/>
      <c r="NB25" s="14"/>
      <c r="NC25" s="14"/>
      <c r="ND25" s="238">
        <f>NC25+LZ25+KY25+JW25+IU25+HT25+GQ25+FO25+EN25+DL25+CJ25+BK25</f>
        <v>6348</v>
      </c>
    </row>
    <row r="26" spans="1:368" x14ac:dyDescent="0.3">
      <c r="A26"/>
      <c r="B26"/>
      <c r="C26"/>
      <c r="D26"/>
      <c r="E26"/>
      <c r="F26"/>
      <c r="G26"/>
      <c r="H26"/>
      <c r="I26"/>
      <c r="N26"/>
      <c r="O26"/>
      <c r="P26"/>
    </row>
    <row r="27" spans="1:368" x14ac:dyDescent="0.3">
      <c r="A27"/>
      <c r="B27"/>
      <c r="C27"/>
      <c r="D27"/>
      <c r="E27"/>
      <c r="F27"/>
      <c r="G27"/>
      <c r="H27"/>
      <c r="I27"/>
    </row>
    <row r="28" spans="1:368" x14ac:dyDescent="0.3">
      <c r="A28"/>
      <c r="B28"/>
      <c r="C28"/>
      <c r="D28"/>
      <c r="E28"/>
      <c r="F28"/>
      <c r="G28"/>
      <c r="H28"/>
      <c r="I28"/>
      <c r="AL28" s="20" t="s">
        <v>854</v>
      </c>
      <c r="AM28" s="18">
        <f t="shared" ref="AM28:BQ28" si="80">AM11/AM12</f>
        <v>0.11764705882352941</v>
      </c>
      <c r="AN28" s="18">
        <f t="shared" si="80"/>
        <v>0.15094339622641509</v>
      </c>
      <c r="AO28" s="18">
        <f t="shared" si="80"/>
        <v>0.1891891891891892</v>
      </c>
      <c r="AP28" s="18">
        <f t="shared" si="80"/>
        <v>0.18947368421052632</v>
      </c>
      <c r="AQ28" s="18">
        <f t="shared" si="80"/>
        <v>0.18333333333333332</v>
      </c>
      <c r="AR28" s="18">
        <f t="shared" si="80"/>
        <v>0.18333333333333332</v>
      </c>
      <c r="AS28" s="18">
        <f t="shared" si="80"/>
        <v>0.11428571428571428</v>
      </c>
      <c r="AT28" s="18">
        <f t="shared" si="80"/>
        <v>0.14285714285714285</v>
      </c>
      <c r="AU28" s="18">
        <f t="shared" si="80"/>
        <v>0.1271186440677966</v>
      </c>
      <c r="AV28" s="18">
        <f t="shared" si="80"/>
        <v>0.13636363636363635</v>
      </c>
      <c r="AW28" s="18">
        <f t="shared" si="80"/>
        <v>0.1306532663316583</v>
      </c>
      <c r="AX28" s="18">
        <f t="shared" si="80"/>
        <v>0.1306532663316583</v>
      </c>
      <c r="AY28" s="18">
        <f t="shared" si="80"/>
        <v>0.17499999999999999</v>
      </c>
      <c r="AZ28" s="18">
        <f t="shared" si="80"/>
        <v>0.15</v>
      </c>
      <c r="BA28" s="18">
        <f t="shared" si="80"/>
        <v>0.14545454545454545</v>
      </c>
      <c r="BB28" s="18">
        <f t="shared" si="80"/>
        <v>0.13636363636363635</v>
      </c>
      <c r="BC28" s="18">
        <f t="shared" si="80"/>
        <v>0.13020833333333334</v>
      </c>
      <c r="BD28" s="18">
        <f t="shared" si="80"/>
        <v>0.13020833333333334</v>
      </c>
      <c r="BE28" s="18">
        <f t="shared" si="80"/>
        <v>0.22222222222222221</v>
      </c>
      <c r="BF28" s="18">
        <f t="shared" si="80"/>
        <v>0.15384615384615385</v>
      </c>
      <c r="BG28" s="18">
        <f t="shared" si="80"/>
        <v>0.125</v>
      </c>
      <c r="BH28" s="18">
        <f t="shared" si="80"/>
        <v>0.12837837837837837</v>
      </c>
      <c r="BI28" s="18">
        <f t="shared" si="80"/>
        <v>0.10824742268041238</v>
      </c>
      <c r="BJ28" s="18">
        <f t="shared" si="80"/>
        <v>0.10824742268041238</v>
      </c>
      <c r="BK28" s="18">
        <f t="shared" si="80"/>
        <v>0.13333333333333333</v>
      </c>
      <c r="BL28" s="18">
        <f t="shared" si="80"/>
        <v>7.407407407407407E-2</v>
      </c>
      <c r="BM28" s="18">
        <f t="shared" si="80"/>
        <v>0.15517241379310345</v>
      </c>
      <c r="BN28" s="18">
        <f t="shared" si="80"/>
        <v>0.17857142857142858</v>
      </c>
      <c r="BO28" s="18">
        <f t="shared" si="80"/>
        <v>0.18803418803418803</v>
      </c>
      <c r="BP28" s="18">
        <f t="shared" si="80"/>
        <v>0.16774193548387098</v>
      </c>
      <c r="BQ28" s="18">
        <f t="shared" si="80"/>
        <v>0.16774193548387098</v>
      </c>
      <c r="BR28" s="18">
        <f>BR21/BR22</f>
        <v>0.29166666666666669</v>
      </c>
      <c r="BS28" s="18">
        <f>BS21/BS22</f>
        <v>0.27272727272727271</v>
      </c>
      <c r="BT28" s="18">
        <f>BT21/BT22</f>
        <v>0.14705882352941177</v>
      </c>
      <c r="BU28" s="18">
        <f>BU21/BU22</f>
        <v>0.17241379310344829</v>
      </c>
      <c r="BV28" s="18">
        <f>BV21/BV22</f>
        <v>0.11363636363636363</v>
      </c>
      <c r="BW28" s="18">
        <f>BW11/BW12</f>
        <v>0.176056338028169</v>
      </c>
      <c r="BX28" s="18">
        <f>BX21/BX22</f>
        <v>9.7560975609756101E-2</v>
      </c>
      <c r="BY28" s="18">
        <f>BY21/BY22</f>
        <v>0.11764705882352941</v>
      </c>
      <c r="BZ28" s="18">
        <f>BZ21/BZ22</f>
        <v>0.17073170731707318</v>
      </c>
      <c r="CA28" s="18">
        <f>CA21/CA22</f>
        <v>0.1276595744680851</v>
      </c>
      <c r="CB28" s="18">
        <f>CB21/CB22</f>
        <v>0.11627906976744186</v>
      </c>
      <c r="CC28" s="18">
        <f>CC11/CC12</f>
        <v>0.12621359223300971</v>
      </c>
      <c r="CD28" s="18" t="e">
        <f>CD21/CD22</f>
        <v>#DIV/0!</v>
      </c>
      <c r="CE28" s="18" t="e">
        <f>CE21/CE22</f>
        <v>#DIV/0!</v>
      </c>
      <c r="CF28" s="18" t="e">
        <f>CF21/CF22</f>
        <v>#DIV/0!</v>
      </c>
      <c r="CG28" s="18" t="e">
        <f>CG21/CG22</f>
        <v>#DIV/0!</v>
      </c>
      <c r="CH28" s="18" t="e">
        <f>CH21/CH22</f>
        <v>#DIV/0!</v>
      </c>
      <c r="CI28" s="18" t="e">
        <f t="shared" ref="CI28:ET28" si="81">CI11/CI12</f>
        <v>#DIV/0!</v>
      </c>
      <c r="CJ28" s="18">
        <f t="shared" si="81"/>
        <v>0.15308151093439365</v>
      </c>
      <c r="CK28" s="18" t="e">
        <f t="shared" si="81"/>
        <v>#DIV/0!</v>
      </c>
      <c r="CL28" s="18" t="e">
        <f t="shared" si="81"/>
        <v>#DIV/0!</v>
      </c>
      <c r="CM28" s="18" t="e">
        <f t="shared" si="81"/>
        <v>#DIV/0!</v>
      </c>
      <c r="CN28" s="18" t="e">
        <f t="shared" si="81"/>
        <v>#DIV/0!</v>
      </c>
      <c r="CO28" s="18" t="e">
        <f t="shared" si="81"/>
        <v>#DIV/0!</v>
      </c>
      <c r="CP28" s="18" t="e">
        <f t="shared" si="81"/>
        <v>#DIV/0!</v>
      </c>
      <c r="CQ28" s="18" t="e">
        <f t="shared" si="81"/>
        <v>#DIV/0!</v>
      </c>
      <c r="CR28" s="18" t="e">
        <f t="shared" si="81"/>
        <v>#DIV/0!</v>
      </c>
      <c r="CS28" s="18" t="e">
        <f t="shared" si="81"/>
        <v>#DIV/0!</v>
      </c>
      <c r="CT28" s="18" t="e">
        <f t="shared" si="81"/>
        <v>#DIV/0!</v>
      </c>
      <c r="CU28" s="18" t="e">
        <f t="shared" si="81"/>
        <v>#DIV/0!</v>
      </c>
      <c r="CV28" s="18" t="e">
        <f t="shared" si="81"/>
        <v>#DIV/0!</v>
      </c>
      <c r="CW28" s="18" t="e">
        <f t="shared" si="81"/>
        <v>#DIV/0!</v>
      </c>
      <c r="CX28" s="18" t="e">
        <f t="shared" si="81"/>
        <v>#DIV/0!</v>
      </c>
      <c r="CY28" s="18" t="e">
        <f t="shared" si="81"/>
        <v>#DIV/0!</v>
      </c>
      <c r="CZ28" s="18" t="e">
        <f t="shared" si="81"/>
        <v>#DIV/0!</v>
      </c>
      <c r="DA28" s="18" t="e">
        <f t="shared" si="81"/>
        <v>#DIV/0!</v>
      </c>
      <c r="DB28" s="18" t="e">
        <f t="shared" si="81"/>
        <v>#DIV/0!</v>
      </c>
      <c r="DC28" s="18" t="e">
        <f t="shared" si="81"/>
        <v>#DIV/0!</v>
      </c>
      <c r="DD28" s="18" t="e">
        <f t="shared" si="81"/>
        <v>#DIV/0!</v>
      </c>
      <c r="DE28" s="18" t="e">
        <f t="shared" si="81"/>
        <v>#DIV/0!</v>
      </c>
      <c r="DF28" s="18" t="e">
        <f t="shared" si="81"/>
        <v>#DIV/0!</v>
      </c>
      <c r="DG28" s="18" t="e">
        <f t="shared" si="81"/>
        <v>#DIV/0!</v>
      </c>
      <c r="DH28" s="18" t="e">
        <f t="shared" si="81"/>
        <v>#DIV/0!</v>
      </c>
      <c r="DI28" s="18" t="e">
        <f t="shared" si="81"/>
        <v>#DIV/0!</v>
      </c>
      <c r="DJ28" s="18" t="e">
        <f t="shared" si="81"/>
        <v>#DIV/0!</v>
      </c>
      <c r="DK28" s="18" t="e">
        <f t="shared" si="81"/>
        <v>#DIV/0!</v>
      </c>
      <c r="DL28" s="18" t="e">
        <f t="shared" si="81"/>
        <v>#DIV/0!</v>
      </c>
      <c r="DM28" s="18" t="e">
        <f t="shared" si="81"/>
        <v>#DIV/0!</v>
      </c>
      <c r="DN28" s="18" t="e">
        <f t="shared" si="81"/>
        <v>#DIV/0!</v>
      </c>
      <c r="DO28" s="18" t="e">
        <f t="shared" si="81"/>
        <v>#DIV/0!</v>
      </c>
      <c r="DP28" s="18" t="e">
        <f t="shared" si="81"/>
        <v>#DIV/0!</v>
      </c>
      <c r="DQ28" s="18" t="e">
        <f t="shared" si="81"/>
        <v>#DIV/0!</v>
      </c>
      <c r="DR28" s="18" t="e">
        <f t="shared" si="81"/>
        <v>#DIV/0!</v>
      </c>
      <c r="DS28" s="18" t="e">
        <f t="shared" si="81"/>
        <v>#DIV/0!</v>
      </c>
      <c r="DT28" s="18" t="e">
        <f t="shared" si="81"/>
        <v>#DIV/0!</v>
      </c>
      <c r="DU28" s="18" t="e">
        <f t="shared" si="81"/>
        <v>#DIV/0!</v>
      </c>
      <c r="DV28" s="18" t="e">
        <f t="shared" si="81"/>
        <v>#DIV/0!</v>
      </c>
      <c r="DW28" s="18" t="e">
        <f t="shared" si="81"/>
        <v>#DIV/0!</v>
      </c>
      <c r="DX28" s="18" t="e">
        <f t="shared" si="81"/>
        <v>#DIV/0!</v>
      </c>
      <c r="DY28" s="18" t="e">
        <f t="shared" si="81"/>
        <v>#DIV/0!</v>
      </c>
      <c r="DZ28" s="18" t="e">
        <f t="shared" si="81"/>
        <v>#DIV/0!</v>
      </c>
      <c r="EA28" s="18" t="e">
        <f t="shared" si="81"/>
        <v>#DIV/0!</v>
      </c>
      <c r="EB28" s="18" t="e">
        <f t="shared" si="81"/>
        <v>#DIV/0!</v>
      </c>
      <c r="EC28" s="18" t="e">
        <f t="shared" si="81"/>
        <v>#DIV/0!</v>
      </c>
      <c r="ED28" s="18" t="e">
        <f t="shared" si="81"/>
        <v>#DIV/0!</v>
      </c>
      <c r="EE28" s="18" t="e">
        <f t="shared" si="81"/>
        <v>#DIV/0!</v>
      </c>
      <c r="EF28" s="18" t="e">
        <f t="shared" si="81"/>
        <v>#DIV/0!</v>
      </c>
      <c r="EG28" s="18" t="e">
        <f t="shared" si="81"/>
        <v>#DIV/0!</v>
      </c>
      <c r="EH28" s="18" t="e">
        <f t="shared" si="81"/>
        <v>#DIV/0!</v>
      </c>
      <c r="EI28" s="18" t="e">
        <f t="shared" si="81"/>
        <v>#DIV/0!</v>
      </c>
      <c r="EJ28" s="18" t="e">
        <f t="shared" si="81"/>
        <v>#DIV/0!</v>
      </c>
      <c r="EK28" s="18" t="e">
        <f t="shared" si="81"/>
        <v>#DIV/0!</v>
      </c>
      <c r="EL28" s="18" t="e">
        <f t="shared" si="81"/>
        <v>#DIV/0!</v>
      </c>
      <c r="EM28" s="18" t="e">
        <f t="shared" si="81"/>
        <v>#DIV/0!</v>
      </c>
      <c r="EN28" s="18" t="e">
        <f t="shared" si="81"/>
        <v>#DIV/0!</v>
      </c>
      <c r="EO28" s="18" t="e">
        <f t="shared" si="81"/>
        <v>#DIV/0!</v>
      </c>
      <c r="EP28" s="18" t="e">
        <f t="shared" si="81"/>
        <v>#DIV/0!</v>
      </c>
      <c r="EQ28" s="18" t="e">
        <f t="shared" si="81"/>
        <v>#DIV/0!</v>
      </c>
      <c r="ER28" s="18" t="e">
        <f t="shared" si="81"/>
        <v>#DIV/0!</v>
      </c>
      <c r="ES28" s="18" t="e">
        <f t="shared" si="81"/>
        <v>#DIV/0!</v>
      </c>
      <c r="ET28" s="18" t="e">
        <f t="shared" si="81"/>
        <v>#DIV/0!</v>
      </c>
      <c r="EU28" s="18" t="e">
        <f t="shared" ref="EU28:HF28" si="82">EU11/EU12</f>
        <v>#DIV/0!</v>
      </c>
      <c r="EV28" s="18" t="e">
        <f t="shared" si="82"/>
        <v>#DIV/0!</v>
      </c>
      <c r="EW28" s="18" t="e">
        <f t="shared" si="82"/>
        <v>#DIV/0!</v>
      </c>
      <c r="EX28" s="18" t="e">
        <f t="shared" si="82"/>
        <v>#DIV/0!</v>
      </c>
      <c r="EY28" s="18" t="e">
        <f t="shared" si="82"/>
        <v>#DIV/0!</v>
      </c>
      <c r="EZ28" s="18" t="e">
        <f t="shared" si="82"/>
        <v>#DIV/0!</v>
      </c>
      <c r="FA28" s="18" t="e">
        <f t="shared" si="82"/>
        <v>#DIV/0!</v>
      </c>
      <c r="FB28" s="18" t="e">
        <f t="shared" si="82"/>
        <v>#DIV/0!</v>
      </c>
      <c r="FC28" s="18" t="e">
        <f t="shared" si="82"/>
        <v>#DIV/0!</v>
      </c>
      <c r="FD28" s="18" t="e">
        <f t="shared" si="82"/>
        <v>#DIV/0!</v>
      </c>
      <c r="FE28" s="18" t="e">
        <f t="shared" si="82"/>
        <v>#DIV/0!</v>
      </c>
      <c r="FF28" s="18" t="e">
        <f t="shared" si="82"/>
        <v>#DIV/0!</v>
      </c>
      <c r="FG28" s="18" t="e">
        <f t="shared" si="82"/>
        <v>#DIV/0!</v>
      </c>
      <c r="FH28" s="18" t="e">
        <f t="shared" si="82"/>
        <v>#DIV/0!</v>
      </c>
      <c r="FI28" s="18" t="e">
        <f t="shared" si="82"/>
        <v>#DIV/0!</v>
      </c>
      <c r="FJ28" s="18" t="e">
        <f t="shared" si="82"/>
        <v>#DIV/0!</v>
      </c>
      <c r="FK28" s="18" t="e">
        <f t="shared" si="82"/>
        <v>#DIV/0!</v>
      </c>
      <c r="FL28" s="18" t="e">
        <f t="shared" si="82"/>
        <v>#DIV/0!</v>
      </c>
      <c r="FM28" s="18" t="e">
        <f t="shared" si="82"/>
        <v>#DIV/0!</v>
      </c>
      <c r="FN28" s="18" t="e">
        <f t="shared" si="82"/>
        <v>#DIV/0!</v>
      </c>
      <c r="FO28" s="18" t="e">
        <f t="shared" si="82"/>
        <v>#DIV/0!</v>
      </c>
      <c r="FP28" s="18" t="e">
        <f t="shared" si="82"/>
        <v>#DIV/0!</v>
      </c>
      <c r="FQ28" s="18" t="e">
        <f t="shared" si="82"/>
        <v>#DIV/0!</v>
      </c>
      <c r="FR28" s="18" t="e">
        <f t="shared" si="82"/>
        <v>#DIV/0!</v>
      </c>
      <c r="FS28" s="18" t="e">
        <f t="shared" si="82"/>
        <v>#DIV/0!</v>
      </c>
      <c r="FT28" s="18" t="e">
        <f t="shared" si="82"/>
        <v>#DIV/0!</v>
      </c>
      <c r="FU28" s="18" t="e">
        <f t="shared" si="82"/>
        <v>#DIV/0!</v>
      </c>
      <c r="FV28" s="18" t="e">
        <f t="shared" si="82"/>
        <v>#DIV/0!</v>
      </c>
      <c r="FW28" s="18" t="e">
        <f t="shared" si="82"/>
        <v>#DIV/0!</v>
      </c>
      <c r="FX28" s="18" t="e">
        <f t="shared" si="82"/>
        <v>#DIV/0!</v>
      </c>
      <c r="FY28" s="18" t="e">
        <f t="shared" si="82"/>
        <v>#DIV/0!</v>
      </c>
      <c r="FZ28" s="18" t="e">
        <f t="shared" si="82"/>
        <v>#DIV/0!</v>
      </c>
      <c r="GA28" s="18" t="e">
        <f t="shared" si="82"/>
        <v>#DIV/0!</v>
      </c>
      <c r="GB28" s="18" t="e">
        <f t="shared" si="82"/>
        <v>#DIV/0!</v>
      </c>
      <c r="GC28" s="18" t="e">
        <f t="shared" si="82"/>
        <v>#DIV/0!</v>
      </c>
      <c r="GD28" s="18" t="e">
        <f t="shared" si="82"/>
        <v>#DIV/0!</v>
      </c>
      <c r="GE28" s="18" t="e">
        <f t="shared" si="82"/>
        <v>#DIV/0!</v>
      </c>
      <c r="GF28" s="18" t="e">
        <f t="shared" si="82"/>
        <v>#DIV/0!</v>
      </c>
      <c r="GG28" s="18" t="e">
        <f t="shared" si="82"/>
        <v>#DIV/0!</v>
      </c>
      <c r="GH28" s="18" t="e">
        <f t="shared" si="82"/>
        <v>#DIV/0!</v>
      </c>
      <c r="GI28" s="18" t="e">
        <f t="shared" si="82"/>
        <v>#DIV/0!</v>
      </c>
      <c r="GJ28" s="18" t="e">
        <f t="shared" si="82"/>
        <v>#DIV/0!</v>
      </c>
      <c r="GK28" s="18" t="e">
        <f t="shared" si="82"/>
        <v>#DIV/0!</v>
      </c>
      <c r="GL28" s="18" t="e">
        <f t="shared" si="82"/>
        <v>#DIV/0!</v>
      </c>
      <c r="GM28" s="18" t="e">
        <f t="shared" si="82"/>
        <v>#DIV/0!</v>
      </c>
      <c r="GN28" s="18" t="e">
        <f t="shared" si="82"/>
        <v>#DIV/0!</v>
      </c>
      <c r="GO28" s="18" t="e">
        <f t="shared" si="82"/>
        <v>#DIV/0!</v>
      </c>
      <c r="GP28" s="18" t="e">
        <f t="shared" si="82"/>
        <v>#DIV/0!</v>
      </c>
      <c r="GQ28" s="18" t="e">
        <f t="shared" si="82"/>
        <v>#DIV/0!</v>
      </c>
      <c r="GR28" s="18" t="e">
        <f t="shared" si="82"/>
        <v>#DIV/0!</v>
      </c>
      <c r="GS28" s="18" t="e">
        <f t="shared" si="82"/>
        <v>#DIV/0!</v>
      </c>
      <c r="GT28" s="18" t="e">
        <f t="shared" si="82"/>
        <v>#DIV/0!</v>
      </c>
      <c r="GU28" s="18" t="e">
        <f t="shared" si="82"/>
        <v>#DIV/0!</v>
      </c>
      <c r="GV28" s="18" t="e">
        <f t="shared" si="82"/>
        <v>#DIV/0!</v>
      </c>
      <c r="GW28" s="18" t="e">
        <f t="shared" si="82"/>
        <v>#DIV/0!</v>
      </c>
      <c r="GX28" s="18" t="e">
        <f t="shared" si="82"/>
        <v>#DIV/0!</v>
      </c>
      <c r="GY28" s="18" t="e">
        <f t="shared" si="82"/>
        <v>#DIV/0!</v>
      </c>
      <c r="GZ28" s="18" t="e">
        <f t="shared" si="82"/>
        <v>#DIV/0!</v>
      </c>
      <c r="HA28" s="18" t="e">
        <f t="shared" si="82"/>
        <v>#DIV/0!</v>
      </c>
      <c r="HB28" s="18" t="e">
        <f t="shared" si="82"/>
        <v>#DIV/0!</v>
      </c>
      <c r="HC28" s="18" t="e">
        <f t="shared" si="82"/>
        <v>#DIV/0!</v>
      </c>
      <c r="HD28" s="18" t="e">
        <f t="shared" si="82"/>
        <v>#DIV/0!</v>
      </c>
      <c r="HE28" s="18" t="e">
        <f t="shared" si="82"/>
        <v>#DIV/0!</v>
      </c>
      <c r="HF28" s="18" t="e">
        <f t="shared" si="82"/>
        <v>#DIV/0!</v>
      </c>
      <c r="HG28" s="18" t="e">
        <f t="shared" ref="HG28:JR28" si="83">HG11/HG12</f>
        <v>#DIV/0!</v>
      </c>
      <c r="HH28" s="18" t="e">
        <f t="shared" si="83"/>
        <v>#DIV/0!</v>
      </c>
      <c r="HI28" s="18" t="e">
        <f t="shared" si="83"/>
        <v>#DIV/0!</v>
      </c>
      <c r="HJ28" s="18" t="e">
        <f t="shared" si="83"/>
        <v>#DIV/0!</v>
      </c>
      <c r="HK28" s="18" t="e">
        <f t="shared" si="83"/>
        <v>#DIV/0!</v>
      </c>
      <c r="HL28" s="18" t="e">
        <f t="shared" si="83"/>
        <v>#DIV/0!</v>
      </c>
      <c r="HM28" s="18" t="e">
        <f t="shared" si="83"/>
        <v>#DIV/0!</v>
      </c>
      <c r="HN28" s="18" t="e">
        <f t="shared" si="83"/>
        <v>#DIV/0!</v>
      </c>
      <c r="HO28" s="18" t="e">
        <f t="shared" si="83"/>
        <v>#DIV/0!</v>
      </c>
      <c r="HP28" s="18" t="e">
        <f t="shared" si="83"/>
        <v>#DIV/0!</v>
      </c>
      <c r="HQ28" s="18" t="e">
        <f t="shared" si="83"/>
        <v>#DIV/0!</v>
      </c>
      <c r="HR28" s="18" t="e">
        <f t="shared" si="83"/>
        <v>#DIV/0!</v>
      </c>
      <c r="HS28" s="18" t="e">
        <f t="shared" si="83"/>
        <v>#DIV/0!</v>
      </c>
      <c r="HT28" s="18" t="e">
        <f t="shared" si="83"/>
        <v>#DIV/0!</v>
      </c>
      <c r="HU28" s="18" t="e">
        <f t="shared" si="83"/>
        <v>#DIV/0!</v>
      </c>
      <c r="HV28" s="18" t="e">
        <f t="shared" si="83"/>
        <v>#DIV/0!</v>
      </c>
      <c r="HW28" s="18" t="e">
        <f t="shared" si="83"/>
        <v>#DIV/0!</v>
      </c>
      <c r="HX28" s="18" t="e">
        <f t="shared" si="83"/>
        <v>#DIV/0!</v>
      </c>
      <c r="HY28" s="18" t="e">
        <f t="shared" si="83"/>
        <v>#DIV/0!</v>
      </c>
      <c r="HZ28" s="18" t="e">
        <f t="shared" si="83"/>
        <v>#DIV/0!</v>
      </c>
      <c r="IA28" s="18" t="e">
        <f t="shared" si="83"/>
        <v>#DIV/0!</v>
      </c>
      <c r="IB28" s="18" t="e">
        <f t="shared" si="83"/>
        <v>#DIV/0!</v>
      </c>
      <c r="IC28" s="18" t="e">
        <f t="shared" si="83"/>
        <v>#DIV/0!</v>
      </c>
      <c r="ID28" s="18" t="e">
        <f t="shared" si="83"/>
        <v>#DIV/0!</v>
      </c>
      <c r="IE28" s="18" t="e">
        <f t="shared" si="83"/>
        <v>#DIV/0!</v>
      </c>
      <c r="IF28" s="18" t="e">
        <f t="shared" si="83"/>
        <v>#DIV/0!</v>
      </c>
      <c r="IG28" s="18" t="e">
        <f t="shared" si="83"/>
        <v>#DIV/0!</v>
      </c>
      <c r="IH28" s="18" t="e">
        <f t="shared" si="83"/>
        <v>#DIV/0!</v>
      </c>
      <c r="II28" s="18" t="e">
        <f t="shared" si="83"/>
        <v>#DIV/0!</v>
      </c>
      <c r="IJ28" s="18" t="e">
        <f t="shared" si="83"/>
        <v>#DIV/0!</v>
      </c>
      <c r="IK28" s="18" t="e">
        <f t="shared" si="83"/>
        <v>#DIV/0!</v>
      </c>
      <c r="IL28" s="18" t="e">
        <f t="shared" si="83"/>
        <v>#DIV/0!</v>
      </c>
      <c r="IM28" s="18" t="e">
        <f t="shared" si="83"/>
        <v>#DIV/0!</v>
      </c>
      <c r="IN28" s="18" t="e">
        <f t="shared" si="83"/>
        <v>#DIV/0!</v>
      </c>
      <c r="IO28" s="18" t="e">
        <f t="shared" si="83"/>
        <v>#DIV/0!</v>
      </c>
      <c r="IP28" s="18" t="e">
        <f t="shared" si="83"/>
        <v>#DIV/0!</v>
      </c>
      <c r="IQ28" s="18" t="e">
        <f t="shared" si="83"/>
        <v>#DIV/0!</v>
      </c>
      <c r="IR28" s="18" t="e">
        <f t="shared" si="83"/>
        <v>#DIV/0!</v>
      </c>
      <c r="IS28" s="18" t="e">
        <f t="shared" si="83"/>
        <v>#DIV/0!</v>
      </c>
      <c r="IT28" s="18" t="e">
        <f t="shared" si="83"/>
        <v>#DIV/0!</v>
      </c>
      <c r="IU28" s="18" t="e">
        <f t="shared" si="83"/>
        <v>#DIV/0!</v>
      </c>
      <c r="IV28" s="18" t="e">
        <f t="shared" si="83"/>
        <v>#DIV/0!</v>
      </c>
      <c r="IW28" s="18" t="e">
        <f t="shared" si="83"/>
        <v>#DIV/0!</v>
      </c>
      <c r="IX28" s="18" t="e">
        <f t="shared" si="83"/>
        <v>#DIV/0!</v>
      </c>
      <c r="IY28" s="18" t="e">
        <f t="shared" si="83"/>
        <v>#DIV/0!</v>
      </c>
      <c r="IZ28" s="18" t="e">
        <f t="shared" si="83"/>
        <v>#DIV/0!</v>
      </c>
      <c r="JA28" s="18" t="e">
        <f t="shared" si="83"/>
        <v>#DIV/0!</v>
      </c>
      <c r="JB28" s="18" t="e">
        <f t="shared" si="83"/>
        <v>#DIV/0!</v>
      </c>
      <c r="JC28" s="18" t="e">
        <f t="shared" si="83"/>
        <v>#DIV/0!</v>
      </c>
      <c r="JD28" s="18" t="e">
        <f t="shared" si="83"/>
        <v>#DIV/0!</v>
      </c>
      <c r="JE28" s="18" t="e">
        <f t="shared" si="83"/>
        <v>#DIV/0!</v>
      </c>
      <c r="JF28" s="18" t="e">
        <f t="shared" si="83"/>
        <v>#DIV/0!</v>
      </c>
      <c r="JG28" s="18" t="e">
        <f t="shared" si="83"/>
        <v>#DIV/0!</v>
      </c>
      <c r="JH28" s="18" t="e">
        <f t="shared" si="83"/>
        <v>#DIV/0!</v>
      </c>
      <c r="JI28" s="18" t="e">
        <f t="shared" si="83"/>
        <v>#DIV/0!</v>
      </c>
      <c r="JJ28" s="18" t="e">
        <f t="shared" si="83"/>
        <v>#DIV/0!</v>
      </c>
      <c r="JK28" s="18" t="e">
        <f t="shared" si="83"/>
        <v>#DIV/0!</v>
      </c>
      <c r="JL28" s="18" t="e">
        <f t="shared" si="83"/>
        <v>#DIV/0!</v>
      </c>
      <c r="JM28" s="18" t="e">
        <f t="shared" si="83"/>
        <v>#DIV/0!</v>
      </c>
      <c r="JN28" s="18" t="e">
        <f t="shared" si="83"/>
        <v>#DIV/0!</v>
      </c>
      <c r="JO28" s="18" t="e">
        <f t="shared" si="83"/>
        <v>#DIV/0!</v>
      </c>
      <c r="JP28" s="18" t="e">
        <f t="shared" si="83"/>
        <v>#DIV/0!</v>
      </c>
      <c r="JQ28" s="18" t="e">
        <f t="shared" si="83"/>
        <v>#DIV/0!</v>
      </c>
      <c r="JR28" s="18" t="e">
        <f t="shared" si="83"/>
        <v>#DIV/0!</v>
      </c>
      <c r="JS28" s="18" t="e">
        <f t="shared" ref="JS28:MD28" si="84">JS11/JS12</f>
        <v>#DIV/0!</v>
      </c>
      <c r="JT28" s="18" t="e">
        <f t="shared" si="84"/>
        <v>#DIV/0!</v>
      </c>
      <c r="JU28" s="18" t="e">
        <f t="shared" si="84"/>
        <v>#DIV/0!</v>
      </c>
      <c r="JV28" s="18" t="e">
        <f t="shared" si="84"/>
        <v>#DIV/0!</v>
      </c>
      <c r="JW28" s="18" t="e">
        <f t="shared" si="84"/>
        <v>#DIV/0!</v>
      </c>
      <c r="JX28" s="18" t="e">
        <f t="shared" si="84"/>
        <v>#DIV/0!</v>
      </c>
      <c r="JY28" s="18" t="e">
        <f t="shared" si="84"/>
        <v>#DIV/0!</v>
      </c>
      <c r="JZ28" s="18" t="e">
        <f t="shared" si="84"/>
        <v>#DIV/0!</v>
      </c>
      <c r="KA28" s="18" t="e">
        <f t="shared" si="84"/>
        <v>#DIV/0!</v>
      </c>
      <c r="KB28" s="18" t="e">
        <f t="shared" si="84"/>
        <v>#DIV/0!</v>
      </c>
      <c r="KC28" s="18" t="e">
        <f t="shared" si="84"/>
        <v>#DIV/0!</v>
      </c>
      <c r="KD28" s="18" t="e">
        <f t="shared" si="84"/>
        <v>#DIV/0!</v>
      </c>
      <c r="KE28" s="18" t="e">
        <f t="shared" si="84"/>
        <v>#DIV/0!</v>
      </c>
      <c r="KF28" s="18" t="e">
        <f t="shared" si="84"/>
        <v>#DIV/0!</v>
      </c>
      <c r="KG28" s="18" t="e">
        <f t="shared" si="84"/>
        <v>#DIV/0!</v>
      </c>
      <c r="KH28" s="18" t="e">
        <f t="shared" si="84"/>
        <v>#DIV/0!</v>
      </c>
      <c r="KI28" s="18" t="e">
        <f t="shared" si="84"/>
        <v>#DIV/0!</v>
      </c>
      <c r="KJ28" s="18" t="e">
        <f t="shared" si="84"/>
        <v>#DIV/0!</v>
      </c>
      <c r="KK28" s="18" t="e">
        <f t="shared" si="84"/>
        <v>#DIV/0!</v>
      </c>
      <c r="KL28" s="18" t="e">
        <f t="shared" si="84"/>
        <v>#DIV/0!</v>
      </c>
      <c r="KM28" s="18" t="e">
        <f t="shared" si="84"/>
        <v>#DIV/0!</v>
      </c>
      <c r="KN28" s="18" t="e">
        <f t="shared" si="84"/>
        <v>#DIV/0!</v>
      </c>
      <c r="KO28" s="18" t="e">
        <f t="shared" si="84"/>
        <v>#DIV/0!</v>
      </c>
      <c r="KP28" s="18" t="e">
        <f t="shared" si="84"/>
        <v>#DIV/0!</v>
      </c>
      <c r="KQ28" s="18" t="e">
        <f t="shared" si="84"/>
        <v>#DIV/0!</v>
      </c>
      <c r="KR28" s="18" t="e">
        <f t="shared" si="84"/>
        <v>#DIV/0!</v>
      </c>
      <c r="KS28" s="18" t="e">
        <f t="shared" si="84"/>
        <v>#DIV/0!</v>
      </c>
      <c r="KT28" s="18" t="e">
        <f t="shared" si="84"/>
        <v>#DIV/0!</v>
      </c>
      <c r="KU28" s="18" t="e">
        <f t="shared" si="84"/>
        <v>#DIV/0!</v>
      </c>
      <c r="KV28" s="18" t="e">
        <f t="shared" si="84"/>
        <v>#DIV/0!</v>
      </c>
      <c r="KW28" s="18" t="e">
        <f t="shared" si="84"/>
        <v>#DIV/0!</v>
      </c>
      <c r="KX28" s="18" t="e">
        <f t="shared" si="84"/>
        <v>#DIV/0!</v>
      </c>
      <c r="KY28" s="18" t="e">
        <f t="shared" si="84"/>
        <v>#DIV/0!</v>
      </c>
      <c r="KZ28" s="18" t="e">
        <f t="shared" si="84"/>
        <v>#DIV/0!</v>
      </c>
      <c r="LA28" s="18" t="e">
        <f t="shared" si="84"/>
        <v>#DIV/0!</v>
      </c>
      <c r="LB28" s="18" t="e">
        <f t="shared" si="84"/>
        <v>#DIV/0!</v>
      </c>
      <c r="LC28" s="18" t="e">
        <f t="shared" si="84"/>
        <v>#DIV/0!</v>
      </c>
      <c r="LD28" s="18" t="e">
        <f t="shared" si="84"/>
        <v>#DIV/0!</v>
      </c>
      <c r="LE28" s="18" t="e">
        <f t="shared" si="84"/>
        <v>#DIV/0!</v>
      </c>
      <c r="LF28" s="18" t="e">
        <f t="shared" si="84"/>
        <v>#DIV/0!</v>
      </c>
      <c r="LG28" s="18" t="e">
        <f t="shared" si="84"/>
        <v>#DIV/0!</v>
      </c>
      <c r="LH28" s="18" t="e">
        <f t="shared" si="84"/>
        <v>#DIV/0!</v>
      </c>
      <c r="LI28" s="18" t="e">
        <f t="shared" si="84"/>
        <v>#DIV/0!</v>
      </c>
      <c r="LJ28" s="18" t="e">
        <f t="shared" si="84"/>
        <v>#DIV/0!</v>
      </c>
      <c r="LK28" s="18" t="e">
        <f t="shared" si="84"/>
        <v>#DIV/0!</v>
      </c>
      <c r="LL28" s="18" t="e">
        <f t="shared" si="84"/>
        <v>#DIV/0!</v>
      </c>
      <c r="LM28" s="18" t="e">
        <f t="shared" si="84"/>
        <v>#DIV/0!</v>
      </c>
      <c r="LN28" s="18" t="e">
        <f t="shared" si="84"/>
        <v>#DIV/0!</v>
      </c>
      <c r="LO28" s="18" t="e">
        <f t="shared" si="84"/>
        <v>#DIV/0!</v>
      </c>
      <c r="LP28" s="18" t="e">
        <f t="shared" si="84"/>
        <v>#DIV/0!</v>
      </c>
      <c r="LQ28" s="18" t="e">
        <f t="shared" si="84"/>
        <v>#DIV/0!</v>
      </c>
      <c r="LR28" s="18" t="e">
        <f t="shared" si="84"/>
        <v>#DIV/0!</v>
      </c>
      <c r="LS28" s="18" t="e">
        <f t="shared" si="84"/>
        <v>#DIV/0!</v>
      </c>
      <c r="LT28" s="18" t="e">
        <f t="shared" si="84"/>
        <v>#DIV/0!</v>
      </c>
      <c r="LU28" s="18" t="e">
        <f t="shared" si="84"/>
        <v>#DIV/0!</v>
      </c>
      <c r="LV28" s="18" t="e">
        <f t="shared" si="84"/>
        <v>#DIV/0!</v>
      </c>
      <c r="LW28" s="18" t="e">
        <f t="shared" si="84"/>
        <v>#DIV/0!</v>
      </c>
      <c r="LX28" s="18" t="e">
        <f t="shared" si="84"/>
        <v>#DIV/0!</v>
      </c>
      <c r="LY28" s="18" t="e">
        <f t="shared" si="84"/>
        <v>#DIV/0!</v>
      </c>
      <c r="LZ28" s="18" t="e">
        <f t="shared" si="84"/>
        <v>#DIV/0!</v>
      </c>
      <c r="MA28" s="18" t="e">
        <f t="shared" si="84"/>
        <v>#DIV/0!</v>
      </c>
      <c r="MB28" s="18" t="e">
        <f t="shared" si="84"/>
        <v>#DIV/0!</v>
      </c>
      <c r="MC28" s="18" t="e">
        <f t="shared" si="84"/>
        <v>#DIV/0!</v>
      </c>
      <c r="MD28" s="18" t="e">
        <f t="shared" si="84"/>
        <v>#DIV/0!</v>
      </c>
      <c r="ME28" s="18" t="e">
        <f t="shared" ref="ME28:ND28" si="85">ME11/ME12</f>
        <v>#DIV/0!</v>
      </c>
      <c r="MF28" s="18" t="e">
        <f t="shared" si="85"/>
        <v>#DIV/0!</v>
      </c>
      <c r="MG28" s="18" t="e">
        <f t="shared" si="85"/>
        <v>#DIV/0!</v>
      </c>
      <c r="MH28" s="18" t="e">
        <f t="shared" si="85"/>
        <v>#DIV/0!</v>
      </c>
      <c r="MI28" s="18" t="e">
        <f t="shared" si="85"/>
        <v>#DIV/0!</v>
      </c>
      <c r="MJ28" s="18" t="e">
        <f t="shared" si="85"/>
        <v>#DIV/0!</v>
      </c>
      <c r="MK28" s="18" t="e">
        <f t="shared" si="85"/>
        <v>#DIV/0!</v>
      </c>
      <c r="ML28" s="18" t="e">
        <f t="shared" si="85"/>
        <v>#DIV/0!</v>
      </c>
      <c r="MM28" s="18" t="e">
        <f t="shared" si="85"/>
        <v>#DIV/0!</v>
      </c>
      <c r="MN28" s="18" t="e">
        <f t="shared" si="85"/>
        <v>#DIV/0!</v>
      </c>
      <c r="MO28" s="18" t="e">
        <f t="shared" si="85"/>
        <v>#DIV/0!</v>
      </c>
      <c r="MP28" s="18" t="e">
        <f t="shared" si="85"/>
        <v>#DIV/0!</v>
      </c>
      <c r="MQ28" s="18" t="e">
        <f t="shared" si="85"/>
        <v>#DIV/0!</v>
      </c>
      <c r="MR28" s="18" t="e">
        <f t="shared" si="85"/>
        <v>#DIV/0!</v>
      </c>
      <c r="MS28" s="18" t="e">
        <f t="shared" si="85"/>
        <v>#DIV/0!</v>
      </c>
      <c r="MT28" s="18" t="e">
        <f t="shared" si="85"/>
        <v>#DIV/0!</v>
      </c>
      <c r="MU28" s="18" t="e">
        <f t="shared" si="85"/>
        <v>#DIV/0!</v>
      </c>
      <c r="MV28" s="18" t="e">
        <f t="shared" si="85"/>
        <v>#DIV/0!</v>
      </c>
      <c r="MW28" s="18" t="e">
        <f t="shared" si="85"/>
        <v>#DIV/0!</v>
      </c>
      <c r="MX28" s="18" t="e">
        <f t="shared" si="85"/>
        <v>#DIV/0!</v>
      </c>
      <c r="MY28" s="18" t="e">
        <f t="shared" si="85"/>
        <v>#DIV/0!</v>
      </c>
      <c r="MZ28" s="18" t="e">
        <f t="shared" si="85"/>
        <v>#DIV/0!</v>
      </c>
      <c r="NA28" s="18" t="e">
        <f t="shared" si="85"/>
        <v>#DIV/0!</v>
      </c>
      <c r="NB28" s="18" t="e">
        <f t="shared" si="85"/>
        <v>#DIV/0!</v>
      </c>
      <c r="NC28" s="18" t="e">
        <f t="shared" si="85"/>
        <v>#DIV/0!</v>
      </c>
      <c r="ND28" s="18">
        <f t="shared" si="85"/>
        <v>0.14155629139072848</v>
      </c>
    </row>
    <row r="29" spans="1:368" x14ac:dyDescent="0.3">
      <c r="A29"/>
      <c r="B29"/>
      <c r="C29"/>
      <c r="D29"/>
      <c r="E29"/>
      <c r="F29"/>
      <c r="G29"/>
      <c r="H29"/>
      <c r="I29"/>
    </row>
    <row r="30" spans="1:368" x14ac:dyDescent="0.3">
      <c r="A30"/>
      <c r="B30"/>
      <c r="C30"/>
      <c r="D30"/>
      <c r="E30"/>
      <c r="F30"/>
      <c r="G30"/>
      <c r="H30"/>
      <c r="I30"/>
    </row>
    <row r="31" spans="1:368" x14ac:dyDescent="0.3">
      <c r="A31"/>
      <c r="B31"/>
      <c r="C31"/>
    </row>
    <row r="32" spans="1:368" x14ac:dyDescent="0.3">
      <c r="A32"/>
      <c r="B32"/>
      <c r="C32"/>
    </row>
    <row r="33" spans="1:16" ht="18" x14ac:dyDescent="0.3">
      <c r="A33"/>
      <c r="B33"/>
      <c r="C33"/>
      <c r="P33" s="34"/>
    </row>
    <row r="34" spans="1:16" ht="18" x14ac:dyDescent="0.3">
      <c r="A34"/>
      <c r="B34"/>
      <c r="C34"/>
      <c r="P34" s="34"/>
    </row>
    <row r="35" spans="1:16" x14ac:dyDescent="0.3">
      <c r="A35"/>
      <c r="B35"/>
      <c r="C35"/>
    </row>
    <row r="36" spans="1:16" x14ac:dyDescent="0.3">
      <c r="A36"/>
      <c r="B36"/>
      <c r="C36"/>
    </row>
    <row r="37" spans="1:16" x14ac:dyDescent="0.3">
      <c r="A37"/>
      <c r="B37"/>
      <c r="C37"/>
    </row>
    <row r="38" spans="1:16" x14ac:dyDescent="0.3">
      <c r="A38"/>
      <c r="B38"/>
      <c r="C38"/>
    </row>
    <row r="39" spans="1:16" x14ac:dyDescent="0.3">
      <c r="A39"/>
      <c r="B39"/>
      <c r="C39"/>
    </row>
    <row r="40" spans="1:16" x14ac:dyDescent="0.3">
      <c r="A40"/>
      <c r="B40"/>
      <c r="C40"/>
    </row>
    <row r="41" spans="1:16" x14ac:dyDescent="0.3">
      <c r="A41"/>
      <c r="B41"/>
      <c r="C41"/>
    </row>
    <row r="42" spans="1:16" x14ac:dyDescent="0.3">
      <c r="A42"/>
      <c r="B42"/>
      <c r="C42"/>
    </row>
    <row r="43" spans="1:16" x14ac:dyDescent="0.3">
      <c r="A43"/>
      <c r="B43"/>
      <c r="C43"/>
    </row>
    <row r="44" spans="1:16" x14ac:dyDescent="0.3">
      <c r="A44"/>
      <c r="B44"/>
      <c r="C44"/>
    </row>
    <row r="45" spans="1:16" x14ac:dyDescent="0.3">
      <c r="A45"/>
      <c r="B45"/>
      <c r="C45"/>
    </row>
    <row r="46" spans="1:16" x14ac:dyDescent="0.3">
      <c r="A46"/>
      <c r="B46"/>
      <c r="C46"/>
    </row>
    <row r="47" spans="1:16" x14ac:dyDescent="0.3">
      <c r="A47"/>
      <c r="B47"/>
      <c r="C47"/>
    </row>
    <row r="48" spans="1:16" x14ac:dyDescent="0.3">
      <c r="A48"/>
      <c r="B48"/>
      <c r="C48"/>
    </row>
    <row r="49" spans="1:3" x14ac:dyDescent="0.3">
      <c r="A49"/>
      <c r="B49"/>
      <c r="C49"/>
    </row>
    <row r="50" spans="1:3" x14ac:dyDescent="0.3">
      <c r="A50"/>
      <c r="B50"/>
      <c r="C50"/>
    </row>
    <row r="51" spans="1:3" x14ac:dyDescent="0.3">
      <c r="A51"/>
      <c r="B51"/>
      <c r="C51"/>
    </row>
    <row r="52" spans="1:3" x14ac:dyDescent="0.3">
      <c r="A52"/>
      <c r="B52"/>
      <c r="C52"/>
    </row>
    <row r="53" spans="1:3" x14ac:dyDescent="0.3">
      <c r="A53"/>
      <c r="B53"/>
      <c r="C53"/>
    </row>
    <row r="54" spans="1:3" x14ac:dyDescent="0.3">
      <c r="A54"/>
      <c r="B54"/>
      <c r="C54"/>
    </row>
    <row r="55" spans="1:3" x14ac:dyDescent="0.3">
      <c r="A55"/>
      <c r="B55"/>
      <c r="C55"/>
    </row>
    <row r="56" spans="1:3" x14ac:dyDescent="0.3">
      <c r="A56"/>
      <c r="B56"/>
      <c r="C56"/>
    </row>
    <row r="57" spans="1:3" x14ac:dyDescent="0.3">
      <c r="A57"/>
      <c r="B57"/>
      <c r="C57"/>
    </row>
    <row r="58" spans="1:3" x14ac:dyDescent="0.3">
      <c r="A58"/>
      <c r="B58"/>
      <c r="C58"/>
    </row>
    <row r="59" spans="1:3" x14ac:dyDescent="0.3">
      <c r="A59"/>
      <c r="B59"/>
      <c r="C59"/>
    </row>
    <row r="60" spans="1:3" x14ac:dyDescent="0.3">
      <c r="A60"/>
      <c r="B60"/>
      <c r="C60"/>
    </row>
    <row r="61" spans="1:3" x14ac:dyDescent="0.3">
      <c r="A61"/>
      <c r="B61"/>
      <c r="C61"/>
    </row>
    <row r="62" spans="1:3" x14ac:dyDescent="0.3">
      <c r="A62"/>
      <c r="B62"/>
      <c r="C62"/>
    </row>
    <row r="63" spans="1:3" x14ac:dyDescent="0.3">
      <c r="A63"/>
      <c r="B63"/>
      <c r="C63"/>
    </row>
    <row r="64" spans="1:3" x14ac:dyDescent="0.3">
      <c r="A64"/>
      <c r="B64"/>
      <c r="C64"/>
    </row>
    <row r="65" spans="1:3" x14ac:dyDescent="0.3">
      <c r="A65"/>
      <c r="B65"/>
      <c r="C65"/>
    </row>
    <row r="66" spans="1:3" x14ac:dyDescent="0.3">
      <c r="A66"/>
      <c r="B66"/>
      <c r="C66"/>
    </row>
    <row r="67" spans="1:3" x14ac:dyDescent="0.3">
      <c r="A67"/>
      <c r="B67"/>
      <c r="C67"/>
    </row>
    <row r="68" spans="1:3" x14ac:dyDescent="0.3">
      <c r="A68"/>
      <c r="B68"/>
      <c r="C68"/>
    </row>
    <row r="69" spans="1:3" x14ac:dyDescent="0.3">
      <c r="A69"/>
      <c r="B69"/>
      <c r="C69"/>
    </row>
    <row r="70" spans="1:3" x14ac:dyDescent="0.3">
      <c r="A70"/>
      <c r="B70"/>
      <c r="C70"/>
    </row>
    <row r="71" spans="1:3" x14ac:dyDescent="0.3">
      <c r="A71"/>
      <c r="B71"/>
      <c r="C71"/>
    </row>
    <row r="72" spans="1:3" x14ac:dyDescent="0.3">
      <c r="A72"/>
      <c r="B72"/>
      <c r="C72"/>
    </row>
    <row r="73" spans="1:3" x14ac:dyDescent="0.3">
      <c r="A73"/>
      <c r="B73"/>
      <c r="C73"/>
    </row>
    <row r="74" spans="1:3" x14ac:dyDescent="0.3">
      <c r="A74"/>
      <c r="B74"/>
      <c r="C74"/>
    </row>
    <row r="75" spans="1:3" x14ac:dyDescent="0.3">
      <c r="A75"/>
      <c r="B75"/>
      <c r="C75"/>
    </row>
    <row r="76" spans="1:3" x14ac:dyDescent="0.3">
      <c r="A76"/>
      <c r="B76"/>
      <c r="C76"/>
    </row>
    <row r="77" spans="1:3" x14ac:dyDescent="0.3">
      <c r="A77"/>
      <c r="B77"/>
      <c r="C77"/>
    </row>
    <row r="78" spans="1:3" x14ac:dyDescent="0.3">
      <c r="A78"/>
      <c r="B78"/>
      <c r="C78"/>
    </row>
    <row r="79" spans="1:3" x14ac:dyDescent="0.3">
      <c r="A79"/>
      <c r="B79"/>
      <c r="C79"/>
    </row>
    <row r="80" spans="1:3" x14ac:dyDescent="0.3">
      <c r="A80"/>
      <c r="B80"/>
      <c r="C80"/>
    </row>
    <row r="81" spans="1:29" x14ac:dyDescent="0.3">
      <c r="A81"/>
      <c r="B81"/>
      <c r="C81"/>
    </row>
    <row r="82" spans="1:29" x14ac:dyDescent="0.3">
      <c r="A82"/>
      <c r="B82"/>
      <c r="C82"/>
      <c r="N82"/>
      <c r="O82"/>
      <c r="X82"/>
      <c r="Y82"/>
    </row>
    <row r="83" spans="1:29" x14ac:dyDescent="0.3">
      <c r="A83"/>
      <c r="B83"/>
      <c r="C83"/>
      <c r="N83" s="16" t="s">
        <v>373</v>
      </c>
      <c r="O83" s="2" t="s">
        <v>574</v>
      </c>
      <c r="X83" s="16" t="s">
        <v>373</v>
      </c>
      <c r="Y83" s="2" t="s">
        <v>574</v>
      </c>
    </row>
    <row r="84" spans="1:29" x14ac:dyDescent="0.3">
      <c r="A84"/>
      <c r="B84"/>
      <c r="C84"/>
      <c r="N84" s="16" t="s">
        <v>7</v>
      </c>
      <c r="O84" s="2" t="s">
        <v>147</v>
      </c>
    </row>
    <row r="85" spans="1:29" ht="43.2" x14ac:dyDescent="0.3">
      <c r="A85"/>
      <c r="B85"/>
      <c r="C85"/>
      <c r="E85" s="16" t="s">
        <v>23</v>
      </c>
      <c r="F85" s="2" t="s">
        <v>145</v>
      </c>
      <c r="X85" s="16" t="s">
        <v>31</v>
      </c>
      <c r="Y85" s="2" t="s">
        <v>144</v>
      </c>
      <c r="Z85" s="2" t="s">
        <v>172</v>
      </c>
      <c r="AA85" s="2" t="s">
        <v>174</v>
      </c>
      <c r="AB85" s="20" t="s">
        <v>175</v>
      </c>
      <c r="AC85" s="20" t="s">
        <v>176</v>
      </c>
    </row>
    <row r="86" spans="1:29" x14ac:dyDescent="0.3">
      <c r="A86"/>
      <c r="B86"/>
      <c r="C86"/>
      <c r="E86" s="16" t="s">
        <v>0</v>
      </c>
      <c r="F86" s="9">
        <v>46073</v>
      </c>
      <c r="N86" s="16" t="s">
        <v>31</v>
      </c>
      <c r="O86" s="2" t="s">
        <v>144</v>
      </c>
      <c r="X86" s="2" t="s">
        <v>166</v>
      </c>
      <c r="Y86" s="2">
        <v>84</v>
      </c>
      <c r="Z86" s="2" t="str">
        <f>X86</f>
        <v>refaire l'operation</v>
      </c>
      <c r="AA86" s="19">
        <v>0.05</v>
      </c>
      <c r="AB86" s="18">
        <f>GETPIVOTDATA("Nombre des défauts",$X$85,"Action de correction","refaire l'operation")/GETPIVOTDATA("Somme de Nombre des piéces controlés",$A$3)</f>
        <v>1.2354758052654803E-2</v>
      </c>
      <c r="AC86" s="18">
        <f>GETPIVOTDATA("Nombre des défauts",$X$85,"Action de correction","refaire l'operation")/GETPIVOTDATA("Nombre des défauts",$X$85)</f>
        <v>0.57534246575342463</v>
      </c>
    </row>
    <row r="87" spans="1:29" x14ac:dyDescent="0.3">
      <c r="A87"/>
      <c r="B87"/>
      <c r="C87"/>
      <c r="N87" s="2" t="s">
        <v>166</v>
      </c>
      <c r="O87" s="2">
        <v>84</v>
      </c>
      <c r="X87" s="2" t="s">
        <v>164</v>
      </c>
      <c r="Y87" s="2">
        <v>50</v>
      </c>
      <c r="Z87" s="2" t="str">
        <f>X87</f>
        <v>mise en rebut</v>
      </c>
      <c r="AA87" s="19">
        <v>0.05</v>
      </c>
      <c r="AB87" s="18">
        <f>GETPIVOTDATA("Nombre des défauts",$X$85,"Action de correction","refaire la piece")/GETPIVOTDATA("Somme de Nombre des piéces controlés",$A$3)</f>
        <v>5.8832181203118106E-4</v>
      </c>
      <c r="AC87" s="18">
        <f>GETPIVOTDATA("Nombre des défauts",$X$85,"Action de correction","refaire la piece")/GETPIVOTDATA("Nombre des défauts",$X$85)</f>
        <v>2.7397260273972601E-2</v>
      </c>
    </row>
    <row r="88" spans="1:29" x14ac:dyDescent="0.3">
      <c r="A88"/>
      <c r="B88"/>
      <c r="C88"/>
      <c r="E88" s="16" t="s">
        <v>31</v>
      </c>
      <c r="F88" s="2" t="s">
        <v>144</v>
      </c>
      <c r="N88" s="2" t="s">
        <v>164</v>
      </c>
      <c r="O88" s="2">
        <v>50</v>
      </c>
      <c r="X88" s="2" t="s">
        <v>165</v>
      </c>
      <c r="Y88" s="2">
        <v>7</v>
      </c>
      <c r="Z88" s="2" t="str">
        <f>X88</f>
        <v>Demande de remplacement</v>
      </c>
      <c r="AA88" s="19">
        <v>0.05</v>
      </c>
      <c r="AB88" s="18">
        <f>GETPIVOTDATA("Nombre des défauts",$X$85,"Action de correction","Demande de remplacement")/GETPIVOTDATA("Somme de Nombre des piéces controlés",$A$3)</f>
        <v>1.0295631710545668E-3</v>
      </c>
      <c r="AC88" s="18">
        <f>GETPIVOTDATA("Nombre des défauts",$X$85,"Action de correction","Demande de remplacement")/GETPIVOTDATA("Nombre des défauts",$X$85)</f>
        <v>4.7945205479452052E-2</v>
      </c>
    </row>
    <row r="89" spans="1:29" x14ac:dyDescent="0.3">
      <c r="A89"/>
      <c r="B89"/>
      <c r="C89"/>
      <c r="E89" s="2" t="s">
        <v>13</v>
      </c>
      <c r="F89" s="2">
        <v>4</v>
      </c>
      <c r="N89" s="2" t="s">
        <v>165</v>
      </c>
      <c r="O89" s="2">
        <v>5</v>
      </c>
      <c r="X89" s="2" t="s">
        <v>169</v>
      </c>
      <c r="Y89" s="2">
        <v>4</v>
      </c>
      <c r="Z89" s="2" t="str">
        <f>X89</f>
        <v>refaire la piece</v>
      </c>
      <c r="AA89" s="19">
        <v>0.05</v>
      </c>
      <c r="AB89" s="18">
        <f>GETPIVOTDATA("Nombre des défauts",$X$85,"Action de correction","refaire la piece")/GETPIVOTDATA("Somme de Nombre des piéces controlés",$A$3)</f>
        <v>5.8832181203118106E-4</v>
      </c>
      <c r="AC89" s="18">
        <f>GETPIVOTDATA("Nombre des défauts",$X$85,"Action de correction","refaire la piece")/GETPIVOTDATA("Nombre des défauts",$X$85)</f>
        <v>2.7397260273972601E-2</v>
      </c>
    </row>
    <row r="90" spans="1:29" x14ac:dyDescent="0.3">
      <c r="A90"/>
      <c r="B90"/>
      <c r="C90"/>
      <c r="E90" s="2" t="s">
        <v>55</v>
      </c>
      <c r="F90" s="2">
        <v>1</v>
      </c>
      <c r="N90" s="2" t="s">
        <v>169</v>
      </c>
      <c r="O90" s="2">
        <v>3</v>
      </c>
      <c r="X90" s="2" t="s">
        <v>934</v>
      </c>
      <c r="Y90" s="2">
        <v>1</v>
      </c>
      <c r="Z90" s="2" t="s">
        <v>173</v>
      </c>
      <c r="AA90" s="19">
        <v>0.05</v>
      </c>
      <c r="AB90" s="18">
        <f>GETPIVOTDATA("Nombre des défauts",$X$85)/GETPIVOTDATA("Somme de Nombre des piéces controlés",$A$3)</f>
        <v>2.1473746139138109E-2</v>
      </c>
      <c r="AC90" s="18">
        <f>GETPIVOTDATA("Nombre des défauts",$X$85)/GETPIVOTDATA("Nombre des défauts",$X$85)</f>
        <v>1</v>
      </c>
    </row>
    <row r="91" spans="1:29" x14ac:dyDescent="0.3">
      <c r="A91"/>
      <c r="B91"/>
      <c r="C91"/>
      <c r="E91" s="2" t="s">
        <v>45</v>
      </c>
      <c r="F91" s="2">
        <v>1</v>
      </c>
      <c r="N91" s="2" t="s">
        <v>32</v>
      </c>
      <c r="O91" s="2">
        <v>142</v>
      </c>
      <c r="X91" s="2" t="s">
        <v>32</v>
      </c>
      <c r="Y91" s="2">
        <v>146</v>
      </c>
      <c r="Z91"/>
      <c r="AA91"/>
    </row>
    <row r="92" spans="1:29" x14ac:dyDescent="0.3">
      <c r="A92"/>
      <c r="B92"/>
      <c r="C92"/>
      <c r="E92" s="2" t="s">
        <v>159</v>
      </c>
      <c r="F92" s="2">
        <v>1</v>
      </c>
      <c r="N92"/>
      <c r="O92"/>
      <c r="X92"/>
      <c r="Y92"/>
      <c r="Z92"/>
      <c r="AA92"/>
    </row>
    <row r="93" spans="1:29" x14ac:dyDescent="0.3">
      <c r="A93"/>
      <c r="B93"/>
      <c r="C93"/>
      <c r="E93" s="2" t="s">
        <v>466</v>
      </c>
      <c r="F93" s="2">
        <v>1</v>
      </c>
      <c r="N93"/>
      <c r="O93"/>
      <c r="X93"/>
      <c r="Y93"/>
      <c r="Z93"/>
    </row>
    <row r="94" spans="1:29" x14ac:dyDescent="0.3">
      <c r="A94"/>
      <c r="B94"/>
      <c r="C94"/>
      <c r="E94" s="2" t="s">
        <v>717</v>
      </c>
      <c r="F94" s="2">
        <v>1</v>
      </c>
      <c r="N94"/>
      <c r="O94"/>
      <c r="X94"/>
      <c r="Y94"/>
      <c r="Z94"/>
      <c r="AA94"/>
    </row>
    <row r="95" spans="1:29" x14ac:dyDescent="0.3">
      <c r="A95"/>
      <c r="B95"/>
      <c r="C95"/>
      <c r="E95" s="2" t="s">
        <v>35</v>
      </c>
      <c r="F95" s="2">
        <v>1</v>
      </c>
      <c r="N95"/>
      <c r="O95"/>
      <c r="X95"/>
      <c r="Y95"/>
      <c r="Z95"/>
      <c r="AA95"/>
    </row>
    <row r="96" spans="1:29" x14ac:dyDescent="0.3">
      <c r="A96"/>
      <c r="B96"/>
      <c r="C96"/>
      <c r="E96" s="2" t="s">
        <v>118</v>
      </c>
      <c r="F96" s="2">
        <v>1</v>
      </c>
      <c r="N96"/>
      <c r="O96"/>
      <c r="X96"/>
      <c r="Y96"/>
      <c r="Z96"/>
      <c r="AA96"/>
    </row>
    <row r="97" spans="1:27" x14ac:dyDescent="0.3">
      <c r="A97"/>
      <c r="B97"/>
      <c r="C97"/>
      <c r="E97" s="2" t="s">
        <v>32</v>
      </c>
      <c r="F97" s="2">
        <v>11</v>
      </c>
      <c r="N97"/>
      <c r="O97"/>
      <c r="X97"/>
      <c r="Y97"/>
      <c r="Z97"/>
      <c r="AA97"/>
    </row>
    <row r="98" spans="1:27" x14ac:dyDescent="0.3">
      <c r="A98"/>
      <c r="B98"/>
      <c r="C98"/>
      <c r="E98"/>
      <c r="F98"/>
      <c r="N98"/>
      <c r="O98"/>
      <c r="X98"/>
      <c r="Y98"/>
      <c r="Z98"/>
      <c r="AA98"/>
    </row>
    <row r="99" spans="1:27" x14ac:dyDescent="0.3">
      <c r="A99"/>
      <c r="B99"/>
      <c r="C99"/>
      <c r="E99"/>
      <c r="F99"/>
      <c r="N99"/>
      <c r="O99"/>
      <c r="X99"/>
      <c r="Y99"/>
      <c r="Z99"/>
      <c r="AA99"/>
    </row>
    <row r="100" spans="1:27" x14ac:dyDescent="0.3">
      <c r="A100"/>
      <c r="B100"/>
      <c r="C100"/>
      <c r="E100"/>
      <c r="F100"/>
      <c r="N100"/>
      <c r="O100"/>
      <c r="X100"/>
      <c r="Y100"/>
      <c r="Z100"/>
      <c r="AA100"/>
    </row>
    <row r="101" spans="1:27" x14ac:dyDescent="0.3">
      <c r="A101"/>
      <c r="B101"/>
      <c r="C101"/>
      <c r="E101"/>
      <c r="F101"/>
      <c r="N101"/>
      <c r="O101"/>
      <c r="X101"/>
      <c r="Y101"/>
      <c r="Z101"/>
      <c r="AA101"/>
    </row>
    <row r="102" spans="1:27" x14ac:dyDescent="0.3">
      <c r="A102"/>
      <c r="B102"/>
      <c r="C102"/>
      <c r="N102"/>
      <c r="O102"/>
      <c r="X102"/>
      <c r="Y102"/>
      <c r="Z102"/>
      <c r="AA102"/>
    </row>
    <row r="103" spans="1:27" x14ac:dyDescent="0.3">
      <c r="A103"/>
      <c r="B103"/>
      <c r="C103"/>
      <c r="E103" s="16" t="s">
        <v>373</v>
      </c>
      <c r="F103" s="2" t="s">
        <v>574</v>
      </c>
      <c r="N103"/>
      <c r="O103"/>
      <c r="X103"/>
      <c r="Y103"/>
      <c r="Z103"/>
      <c r="AA103"/>
    </row>
    <row r="104" spans="1:27" x14ac:dyDescent="0.3">
      <c r="A104"/>
      <c r="B104"/>
      <c r="C104"/>
      <c r="N104"/>
      <c r="O104"/>
    </row>
    <row r="105" spans="1:27" x14ac:dyDescent="0.3">
      <c r="A105"/>
      <c r="B105"/>
      <c r="C105"/>
      <c r="E105" s="16" t="s">
        <v>31</v>
      </c>
      <c r="F105" s="2" t="s">
        <v>144</v>
      </c>
      <c r="N105"/>
      <c r="O105"/>
    </row>
    <row r="106" spans="1:27" x14ac:dyDescent="0.3">
      <c r="A106"/>
      <c r="B106"/>
      <c r="C106"/>
      <c r="E106" s="32" t="s">
        <v>349</v>
      </c>
      <c r="F106" s="2">
        <v>60</v>
      </c>
      <c r="N106"/>
      <c r="O106"/>
    </row>
    <row r="107" spans="1:27" x14ac:dyDescent="0.3">
      <c r="A107"/>
      <c r="B107"/>
      <c r="C107"/>
      <c r="E107" s="32" t="s">
        <v>353</v>
      </c>
      <c r="F107" s="2">
        <v>35</v>
      </c>
      <c r="N107"/>
      <c r="O107"/>
    </row>
    <row r="108" spans="1:27" x14ac:dyDescent="0.3">
      <c r="A108"/>
      <c r="B108"/>
      <c r="C108"/>
      <c r="E108" s="32" t="s">
        <v>61</v>
      </c>
      <c r="F108" s="2">
        <v>21</v>
      </c>
      <c r="N108"/>
      <c r="O108"/>
    </row>
    <row r="109" spans="1:27" x14ac:dyDescent="0.3">
      <c r="A109"/>
      <c r="B109"/>
      <c r="C109"/>
      <c r="E109" s="32" t="s">
        <v>740</v>
      </c>
      <c r="F109" s="2">
        <v>11</v>
      </c>
      <c r="N109"/>
      <c r="O109"/>
      <c r="P109" s="16" t="s">
        <v>373</v>
      </c>
      <c r="Q109" s="2" t="s">
        <v>574</v>
      </c>
    </row>
    <row r="110" spans="1:27" x14ac:dyDescent="0.3">
      <c r="A110"/>
      <c r="B110"/>
      <c r="C110"/>
      <c r="E110" s="32" t="s">
        <v>479</v>
      </c>
      <c r="F110" s="2">
        <v>6</v>
      </c>
      <c r="N110"/>
      <c r="O110"/>
      <c r="P110" s="16" t="s">
        <v>7</v>
      </c>
      <c r="Q110" s="2" t="s">
        <v>14</v>
      </c>
    </row>
    <row r="111" spans="1:27" x14ac:dyDescent="0.3">
      <c r="A111"/>
      <c r="B111"/>
      <c r="C111"/>
      <c r="E111" s="32" t="s">
        <v>348</v>
      </c>
      <c r="F111" s="2">
        <v>4</v>
      </c>
      <c r="N111"/>
      <c r="O111"/>
    </row>
    <row r="112" spans="1:27" x14ac:dyDescent="0.3">
      <c r="A112"/>
      <c r="B112"/>
      <c r="C112"/>
      <c r="E112" s="32" t="s">
        <v>350</v>
      </c>
      <c r="F112" s="2">
        <v>3</v>
      </c>
      <c r="N112"/>
      <c r="O112"/>
      <c r="P112" s="16" t="s">
        <v>31</v>
      </c>
      <c r="Q112" s="2" t="s">
        <v>144</v>
      </c>
    </row>
    <row r="113" spans="1:17" x14ac:dyDescent="0.3">
      <c r="A113"/>
      <c r="B113"/>
      <c r="C113"/>
      <c r="E113" s="32" t="s">
        <v>347</v>
      </c>
      <c r="F113" s="2">
        <v>2</v>
      </c>
      <c r="N113"/>
      <c r="O113"/>
      <c r="P113" s="2" t="s">
        <v>166</v>
      </c>
      <c r="Q113" s="2">
        <v>27</v>
      </c>
    </row>
    <row r="114" spans="1:17" x14ac:dyDescent="0.3">
      <c r="A114"/>
      <c r="B114"/>
      <c r="C114"/>
      <c r="E114" s="2" t="s">
        <v>32</v>
      </c>
      <c r="F114" s="2">
        <v>142</v>
      </c>
      <c r="N114"/>
      <c r="O114"/>
      <c r="P114" s="2" t="s">
        <v>164</v>
      </c>
      <c r="Q114" s="2">
        <v>8</v>
      </c>
    </row>
    <row r="115" spans="1:17" x14ac:dyDescent="0.3">
      <c r="A115"/>
      <c r="B115"/>
      <c r="C115"/>
      <c r="E115"/>
      <c r="F115"/>
      <c r="N115"/>
      <c r="O115"/>
      <c r="P115" s="2" t="s">
        <v>165</v>
      </c>
      <c r="Q115" s="2">
        <v>1</v>
      </c>
    </row>
    <row r="116" spans="1:17" x14ac:dyDescent="0.3">
      <c r="A116"/>
      <c r="B116"/>
      <c r="C116"/>
      <c r="E116"/>
      <c r="F116"/>
      <c r="N116"/>
      <c r="O116"/>
      <c r="P116" s="2" t="s">
        <v>169</v>
      </c>
      <c r="Q116" s="2">
        <v>1</v>
      </c>
    </row>
    <row r="117" spans="1:17" x14ac:dyDescent="0.3">
      <c r="A117"/>
      <c r="B117"/>
      <c r="C117"/>
      <c r="E117"/>
      <c r="F117"/>
      <c r="N117"/>
      <c r="O117"/>
      <c r="P117" s="2" t="s">
        <v>32</v>
      </c>
      <c r="Q117" s="2">
        <v>37</v>
      </c>
    </row>
    <row r="118" spans="1:17" x14ac:dyDescent="0.3">
      <c r="A118"/>
      <c r="B118"/>
      <c r="C118"/>
      <c r="N118"/>
      <c r="O118"/>
    </row>
    <row r="119" spans="1:17" x14ac:dyDescent="0.3">
      <c r="A119"/>
      <c r="B119"/>
      <c r="C119"/>
      <c r="N119"/>
      <c r="O119"/>
    </row>
    <row r="120" spans="1:17" x14ac:dyDescent="0.3">
      <c r="A120"/>
      <c r="B120"/>
      <c r="C120"/>
      <c r="N120"/>
      <c r="O120"/>
    </row>
    <row r="121" spans="1:17" x14ac:dyDescent="0.3">
      <c r="A121"/>
      <c r="B121"/>
      <c r="C121"/>
      <c r="N121"/>
      <c r="O121"/>
    </row>
    <row r="122" spans="1:17" x14ac:dyDescent="0.3">
      <c r="A122"/>
      <c r="B122"/>
      <c r="C122"/>
      <c r="E122" s="16" t="s">
        <v>0</v>
      </c>
      <c r="F122" s="9">
        <v>46073</v>
      </c>
      <c r="N122"/>
      <c r="O122"/>
    </row>
    <row r="123" spans="1:17" x14ac:dyDescent="0.3">
      <c r="A123"/>
      <c r="B123"/>
      <c r="C123"/>
      <c r="N123"/>
      <c r="O123"/>
    </row>
    <row r="124" spans="1:17" x14ac:dyDescent="0.3">
      <c r="A124"/>
      <c r="B124"/>
      <c r="C124"/>
      <c r="E124" s="16" t="s">
        <v>31</v>
      </c>
      <c r="F124" s="2" t="s">
        <v>144</v>
      </c>
      <c r="N124"/>
      <c r="O124"/>
    </row>
    <row r="125" spans="1:17" x14ac:dyDescent="0.3">
      <c r="A125"/>
      <c r="B125"/>
      <c r="C125"/>
      <c r="E125" s="2" t="s">
        <v>349</v>
      </c>
      <c r="F125" s="2">
        <v>9</v>
      </c>
      <c r="N125"/>
      <c r="O125"/>
    </row>
    <row r="126" spans="1:17" x14ac:dyDescent="0.3">
      <c r="A126"/>
      <c r="B126"/>
      <c r="C126"/>
      <c r="E126" s="2" t="s">
        <v>353</v>
      </c>
      <c r="F126" s="2">
        <v>1</v>
      </c>
      <c r="N126"/>
      <c r="O126"/>
    </row>
    <row r="127" spans="1:17" x14ac:dyDescent="0.3">
      <c r="A127"/>
      <c r="B127"/>
      <c r="C127"/>
      <c r="E127" s="2" t="s">
        <v>61</v>
      </c>
      <c r="F127" s="2">
        <v>1</v>
      </c>
      <c r="N127"/>
      <c r="O127"/>
    </row>
    <row r="128" spans="1:17" x14ac:dyDescent="0.3">
      <c r="A128"/>
      <c r="B128"/>
      <c r="C128"/>
      <c r="E128" s="2" t="s">
        <v>32</v>
      </c>
      <c r="F128" s="2">
        <v>11</v>
      </c>
      <c r="N128"/>
      <c r="O128"/>
    </row>
    <row r="129" spans="1:19" x14ac:dyDescent="0.3">
      <c r="A129"/>
      <c r="B129"/>
      <c r="C129"/>
      <c r="E129"/>
      <c r="F129"/>
      <c r="N129"/>
      <c r="O129"/>
      <c r="R129" s="16" t="s">
        <v>373</v>
      </c>
      <c r="S129" s="2" t="s">
        <v>574</v>
      </c>
    </row>
    <row r="130" spans="1:19" x14ac:dyDescent="0.3">
      <c r="A130"/>
      <c r="B130"/>
      <c r="C130"/>
      <c r="E130"/>
      <c r="F130"/>
      <c r="N130"/>
      <c r="O130"/>
      <c r="R130" s="16" t="s">
        <v>7</v>
      </c>
      <c r="S130" s="2" t="s">
        <v>16</v>
      </c>
    </row>
    <row r="131" spans="1:19" x14ac:dyDescent="0.3">
      <c r="A131"/>
      <c r="B131"/>
      <c r="C131"/>
      <c r="E131"/>
      <c r="F131"/>
      <c r="N131"/>
      <c r="O131"/>
    </row>
    <row r="132" spans="1:19" x14ac:dyDescent="0.3">
      <c r="A132"/>
      <c r="B132"/>
      <c r="C132"/>
      <c r="E132"/>
      <c r="F132"/>
      <c r="N132"/>
      <c r="O132"/>
      <c r="R132" s="16" t="s">
        <v>31</v>
      </c>
      <c r="S132" s="2" t="s">
        <v>144</v>
      </c>
    </row>
    <row r="133" spans="1:19" x14ac:dyDescent="0.3">
      <c r="A133"/>
      <c r="B133"/>
      <c r="C133"/>
      <c r="E133"/>
      <c r="F133"/>
      <c r="N133"/>
      <c r="O133"/>
      <c r="R133" s="2" t="s">
        <v>164</v>
      </c>
      <c r="S133" s="2">
        <v>12</v>
      </c>
    </row>
    <row r="134" spans="1:19" x14ac:dyDescent="0.3">
      <c r="A134"/>
      <c r="B134"/>
      <c r="C134"/>
      <c r="E134"/>
      <c r="F134"/>
      <c r="R134" s="2" t="s">
        <v>166</v>
      </c>
      <c r="S134" s="2">
        <v>11</v>
      </c>
    </row>
    <row r="135" spans="1:19" x14ac:dyDescent="0.3">
      <c r="A135"/>
      <c r="B135"/>
      <c r="C135"/>
      <c r="R135" s="2" t="s">
        <v>32</v>
      </c>
      <c r="S135" s="2">
        <v>23</v>
      </c>
    </row>
    <row r="136" spans="1:19" x14ac:dyDescent="0.3">
      <c r="A136"/>
      <c r="B136"/>
      <c r="C136"/>
      <c r="R136"/>
      <c r="S136"/>
    </row>
    <row r="137" spans="1:19" x14ac:dyDescent="0.3">
      <c r="A137"/>
      <c r="B137"/>
      <c r="C137"/>
    </row>
    <row r="138" spans="1:19" x14ac:dyDescent="0.3">
      <c r="A138"/>
      <c r="B138"/>
      <c r="C138"/>
    </row>
    <row r="139" spans="1:19" x14ac:dyDescent="0.3">
      <c r="A139"/>
      <c r="B139"/>
      <c r="C139"/>
    </row>
    <row r="140" spans="1:19" x14ac:dyDescent="0.3">
      <c r="A140"/>
      <c r="B140"/>
      <c r="C140"/>
    </row>
    <row r="141" spans="1:19" x14ac:dyDescent="0.3">
      <c r="A141"/>
      <c r="B141"/>
      <c r="C141"/>
    </row>
    <row r="142" spans="1:19" x14ac:dyDescent="0.3">
      <c r="A142"/>
      <c r="B142"/>
      <c r="C142"/>
    </row>
    <row r="143" spans="1:19" x14ac:dyDescent="0.3">
      <c r="A143"/>
      <c r="B143"/>
      <c r="C143"/>
    </row>
    <row r="144" spans="1:19" x14ac:dyDescent="0.3">
      <c r="A144"/>
      <c r="B144"/>
      <c r="C144"/>
    </row>
    <row r="145" spans="1:21" x14ac:dyDescent="0.3">
      <c r="A145"/>
      <c r="B145"/>
      <c r="C145"/>
      <c r="E145" s="16" t="s">
        <v>373</v>
      </c>
      <c r="F145" s="2" t="s">
        <v>145</v>
      </c>
    </row>
    <row r="146" spans="1:21" x14ac:dyDescent="0.3">
      <c r="A146"/>
      <c r="B146"/>
      <c r="C146"/>
    </row>
    <row r="147" spans="1:21" x14ac:dyDescent="0.3">
      <c r="A147"/>
      <c r="B147"/>
      <c r="C147"/>
      <c r="E147" s="16" t="s">
        <v>31</v>
      </c>
      <c r="F147" s="2" t="s">
        <v>144</v>
      </c>
    </row>
    <row r="148" spans="1:21" x14ac:dyDescent="0.3">
      <c r="A148"/>
      <c r="B148"/>
      <c r="C148"/>
      <c r="E148" s="32" t="s">
        <v>349</v>
      </c>
      <c r="F148" s="2">
        <v>115</v>
      </c>
    </row>
    <row r="149" spans="1:21" x14ac:dyDescent="0.3">
      <c r="A149"/>
      <c r="B149"/>
      <c r="C149"/>
      <c r="E149" s="2" t="s">
        <v>13</v>
      </c>
      <c r="F149" s="2">
        <v>32</v>
      </c>
    </row>
    <row r="150" spans="1:21" x14ac:dyDescent="0.3">
      <c r="A150"/>
      <c r="B150"/>
      <c r="C150"/>
      <c r="E150" s="2" t="s">
        <v>45</v>
      </c>
      <c r="F150" s="2">
        <v>9</v>
      </c>
    </row>
    <row r="151" spans="1:21" x14ac:dyDescent="0.3">
      <c r="A151"/>
      <c r="B151"/>
      <c r="C151"/>
      <c r="E151" s="2" t="s">
        <v>159</v>
      </c>
      <c r="F151" s="2">
        <v>9</v>
      </c>
    </row>
    <row r="152" spans="1:21" x14ac:dyDescent="0.3">
      <c r="A152"/>
      <c r="B152"/>
      <c r="C152"/>
      <c r="E152" s="2" t="s">
        <v>118</v>
      </c>
      <c r="F152" s="2">
        <v>8</v>
      </c>
    </row>
    <row r="153" spans="1:21" x14ac:dyDescent="0.3">
      <c r="A153"/>
      <c r="B153"/>
      <c r="C153"/>
      <c r="E153" s="2" t="s">
        <v>10</v>
      </c>
      <c r="F153" s="2">
        <v>8</v>
      </c>
      <c r="T153" s="16" t="s">
        <v>373</v>
      </c>
      <c r="U153" s="2" t="s">
        <v>574</v>
      </c>
    </row>
    <row r="154" spans="1:21" x14ac:dyDescent="0.3">
      <c r="A154"/>
      <c r="B154"/>
      <c r="C154"/>
      <c r="E154" s="2" t="s">
        <v>51</v>
      </c>
      <c r="F154" s="2">
        <v>7</v>
      </c>
      <c r="T154" s="16" t="s">
        <v>7</v>
      </c>
      <c r="U154" s="2" t="s">
        <v>11</v>
      </c>
    </row>
    <row r="155" spans="1:21" x14ac:dyDescent="0.3">
      <c r="A155"/>
      <c r="B155"/>
      <c r="C155"/>
      <c r="E155" s="2" t="s">
        <v>93</v>
      </c>
      <c r="F155" s="2">
        <v>6</v>
      </c>
    </row>
    <row r="156" spans="1:21" x14ac:dyDescent="0.3">
      <c r="A156"/>
      <c r="B156"/>
      <c r="C156"/>
      <c r="E156" s="2" t="s">
        <v>717</v>
      </c>
      <c r="F156" s="2">
        <v>5</v>
      </c>
      <c r="T156" s="16" t="s">
        <v>31</v>
      </c>
      <c r="U156" s="2" t="s">
        <v>144</v>
      </c>
    </row>
    <row r="157" spans="1:21" x14ac:dyDescent="0.3">
      <c r="A157"/>
      <c r="B157"/>
      <c r="C157"/>
      <c r="E157" s="2" t="s">
        <v>19</v>
      </c>
      <c r="F157" s="2">
        <v>4</v>
      </c>
      <c r="T157" s="2" t="s">
        <v>166</v>
      </c>
      <c r="U157" s="2">
        <v>46</v>
      </c>
    </row>
    <row r="158" spans="1:21" x14ac:dyDescent="0.3">
      <c r="A158"/>
      <c r="B158"/>
      <c r="C158"/>
      <c r="E158" s="2" t="s">
        <v>52</v>
      </c>
      <c r="F158" s="2">
        <v>3</v>
      </c>
      <c r="T158" s="2" t="s">
        <v>164</v>
      </c>
      <c r="U158" s="2">
        <v>29</v>
      </c>
    </row>
    <row r="159" spans="1:21" x14ac:dyDescent="0.3">
      <c r="A159"/>
      <c r="B159"/>
      <c r="C159"/>
      <c r="E159" s="2" t="s">
        <v>83</v>
      </c>
      <c r="F159" s="2">
        <v>3</v>
      </c>
      <c r="T159" s="2" t="s">
        <v>169</v>
      </c>
      <c r="U159" s="2">
        <v>2</v>
      </c>
    </row>
    <row r="160" spans="1:21" x14ac:dyDescent="0.3">
      <c r="A160"/>
      <c r="B160"/>
      <c r="C160"/>
      <c r="E160" s="2" t="s">
        <v>466</v>
      </c>
      <c r="F160" s="2">
        <v>2</v>
      </c>
      <c r="T160" s="2" t="s">
        <v>32</v>
      </c>
      <c r="U160" s="2">
        <v>77</v>
      </c>
    </row>
    <row r="161" spans="1:21" x14ac:dyDescent="0.3">
      <c r="A161"/>
      <c r="B161"/>
      <c r="C161"/>
      <c r="E161" s="2" t="s">
        <v>329</v>
      </c>
      <c r="F161" s="2">
        <v>2</v>
      </c>
      <c r="T161"/>
      <c r="U161"/>
    </row>
    <row r="162" spans="1:21" x14ac:dyDescent="0.3">
      <c r="A162"/>
      <c r="B162"/>
      <c r="C162"/>
      <c r="E162" s="2" t="s">
        <v>594</v>
      </c>
      <c r="F162" s="2">
        <v>2</v>
      </c>
    </row>
    <row r="163" spans="1:21" x14ac:dyDescent="0.3">
      <c r="A163"/>
      <c r="B163"/>
      <c r="C163"/>
      <c r="E163" s="2" t="s">
        <v>21</v>
      </c>
      <c r="F163" s="2">
        <v>2</v>
      </c>
    </row>
    <row r="164" spans="1:21" x14ac:dyDescent="0.3">
      <c r="A164"/>
      <c r="B164"/>
      <c r="C164"/>
      <c r="E164" s="2" t="s">
        <v>161</v>
      </c>
      <c r="F164" s="2">
        <v>2</v>
      </c>
    </row>
    <row r="165" spans="1:21" x14ac:dyDescent="0.3">
      <c r="A165"/>
      <c r="B165"/>
      <c r="C165"/>
      <c r="E165" s="2" t="s">
        <v>35</v>
      </c>
      <c r="F165" s="2">
        <v>2</v>
      </c>
    </row>
    <row r="166" spans="1:21" x14ac:dyDescent="0.3">
      <c r="A166"/>
      <c r="B166"/>
      <c r="C166"/>
      <c r="E166" s="2" t="s">
        <v>34</v>
      </c>
      <c r="F166" s="2">
        <v>2</v>
      </c>
    </row>
    <row r="167" spans="1:21" x14ac:dyDescent="0.3">
      <c r="A167"/>
      <c r="B167"/>
      <c r="C167"/>
      <c r="E167" s="2" t="s">
        <v>492</v>
      </c>
      <c r="F167" s="2">
        <v>1</v>
      </c>
    </row>
    <row r="168" spans="1:21" x14ac:dyDescent="0.3">
      <c r="A168"/>
      <c r="B168"/>
      <c r="C168"/>
      <c r="E168" s="2" t="s">
        <v>796</v>
      </c>
      <c r="F168" s="2">
        <v>1</v>
      </c>
    </row>
    <row r="169" spans="1:21" x14ac:dyDescent="0.3">
      <c r="A169"/>
      <c r="B169"/>
      <c r="C169"/>
      <c r="E169" s="2" t="s">
        <v>239</v>
      </c>
      <c r="F169" s="2">
        <v>1</v>
      </c>
    </row>
    <row r="170" spans="1:21" x14ac:dyDescent="0.3">
      <c r="A170"/>
      <c r="B170"/>
      <c r="C170"/>
      <c r="E170" s="2" t="s">
        <v>47</v>
      </c>
      <c r="F170" s="2">
        <v>1</v>
      </c>
    </row>
    <row r="171" spans="1:21" x14ac:dyDescent="0.3">
      <c r="A171"/>
      <c r="B171"/>
      <c r="C171"/>
      <c r="E171" s="2" t="s">
        <v>241</v>
      </c>
      <c r="F171" s="2">
        <v>1</v>
      </c>
    </row>
    <row r="172" spans="1:21" x14ac:dyDescent="0.3">
      <c r="A172"/>
      <c r="B172"/>
      <c r="C172"/>
      <c r="E172" s="2" t="s">
        <v>696</v>
      </c>
      <c r="F172" s="2">
        <v>1</v>
      </c>
    </row>
    <row r="173" spans="1:21" x14ac:dyDescent="0.3">
      <c r="A173"/>
      <c r="B173"/>
      <c r="C173"/>
      <c r="E173" s="2" t="s">
        <v>715</v>
      </c>
      <c r="F173" s="2">
        <v>1</v>
      </c>
    </row>
    <row r="174" spans="1:21" x14ac:dyDescent="0.3">
      <c r="A174"/>
      <c r="B174"/>
      <c r="C174"/>
      <c r="E174" s="32" t="s">
        <v>353</v>
      </c>
      <c r="F174" s="2">
        <v>83</v>
      </c>
    </row>
    <row r="175" spans="1:21" x14ac:dyDescent="0.3">
      <c r="A175"/>
      <c r="B175"/>
      <c r="C175"/>
      <c r="E175" s="2" t="s">
        <v>344</v>
      </c>
      <c r="F175" s="2">
        <v>16</v>
      </c>
    </row>
    <row r="176" spans="1:21" x14ac:dyDescent="0.3">
      <c r="A176" s="16" t="s">
        <v>23</v>
      </c>
      <c r="B176" s="2" t="s">
        <v>145</v>
      </c>
      <c r="C176"/>
      <c r="E176" s="2" t="s">
        <v>13</v>
      </c>
      <c r="F176" s="2">
        <v>14</v>
      </c>
    </row>
    <row r="177" spans="1:23" x14ac:dyDescent="0.3">
      <c r="A177" s="16" t="s">
        <v>373</v>
      </c>
      <c r="B177" s="2" t="s">
        <v>145</v>
      </c>
      <c r="C177"/>
      <c r="E177" s="2" t="s">
        <v>39</v>
      </c>
      <c r="F177" s="2">
        <v>7</v>
      </c>
      <c r="V177"/>
      <c r="W177"/>
    </row>
    <row r="178" spans="1:23" x14ac:dyDescent="0.3">
      <c r="C178"/>
      <c r="E178" s="2" t="s">
        <v>334</v>
      </c>
      <c r="F178" s="2">
        <v>4</v>
      </c>
      <c r="V178" s="16" t="s">
        <v>373</v>
      </c>
      <c r="W178" s="2" t="s">
        <v>574</v>
      </c>
    </row>
    <row r="179" spans="1:23" x14ac:dyDescent="0.3">
      <c r="A179" s="16" t="s">
        <v>31</v>
      </c>
      <c r="B179" s="2" t="s">
        <v>144</v>
      </c>
      <c r="C179"/>
      <c r="E179" s="2" t="s">
        <v>28</v>
      </c>
      <c r="F179" s="2">
        <v>4</v>
      </c>
      <c r="V179" s="16" t="s">
        <v>7</v>
      </c>
      <c r="W179" s="2" t="s">
        <v>147</v>
      </c>
    </row>
    <row r="180" spans="1:23" x14ac:dyDescent="0.3">
      <c r="A180" s="2" t="s">
        <v>8</v>
      </c>
      <c r="B180" s="2">
        <v>187</v>
      </c>
      <c r="C180"/>
      <c r="E180" s="2" t="s">
        <v>555</v>
      </c>
      <c r="F180" s="2">
        <v>4</v>
      </c>
    </row>
    <row r="181" spans="1:23" x14ac:dyDescent="0.3">
      <c r="A181" s="2" t="s">
        <v>14</v>
      </c>
      <c r="B181" s="2">
        <v>75</v>
      </c>
      <c r="C181"/>
      <c r="E181" s="2" t="s">
        <v>83</v>
      </c>
      <c r="F181" s="2">
        <v>4</v>
      </c>
      <c r="V181" s="16" t="s">
        <v>31</v>
      </c>
      <c r="W181" s="2" t="s">
        <v>144</v>
      </c>
    </row>
    <row r="182" spans="1:23" x14ac:dyDescent="0.3">
      <c r="A182" s="2" t="s">
        <v>11</v>
      </c>
      <c r="B182" s="2">
        <v>63</v>
      </c>
      <c r="C182"/>
      <c r="E182" s="2" t="s">
        <v>547</v>
      </c>
      <c r="F182" s="2">
        <v>3</v>
      </c>
      <c r="V182" s="2" t="s">
        <v>165</v>
      </c>
      <c r="W182" s="2">
        <v>5</v>
      </c>
    </row>
    <row r="183" spans="1:23" x14ac:dyDescent="0.3">
      <c r="A183" s="2" t="s">
        <v>16</v>
      </c>
      <c r="B183" s="2">
        <v>38</v>
      </c>
      <c r="C183"/>
      <c r="E183" s="2" t="s">
        <v>47</v>
      </c>
      <c r="F183" s="2">
        <v>3</v>
      </c>
      <c r="V183" s="2" t="s">
        <v>164</v>
      </c>
      <c r="W183" s="2">
        <v>1</v>
      </c>
    </row>
    <row r="184" spans="1:23" x14ac:dyDescent="0.3">
      <c r="A184" s="2" t="s">
        <v>46</v>
      </c>
      <c r="B184" s="2">
        <v>10</v>
      </c>
      <c r="C184"/>
      <c r="E184" s="2" t="s">
        <v>19</v>
      </c>
      <c r="F184" s="2">
        <v>3</v>
      </c>
      <c r="V184" s="2" t="s">
        <v>32</v>
      </c>
      <c r="W184" s="2">
        <v>6</v>
      </c>
    </row>
    <row r="185" spans="1:23" x14ac:dyDescent="0.3">
      <c r="A185" s="2" t="s">
        <v>286</v>
      </c>
      <c r="B185" s="2">
        <v>1</v>
      </c>
      <c r="C185"/>
      <c r="E185" s="2" t="s">
        <v>180</v>
      </c>
      <c r="F185" s="2">
        <v>3</v>
      </c>
      <c r="V185"/>
      <c r="W185"/>
    </row>
    <row r="186" spans="1:23" x14ac:dyDescent="0.3">
      <c r="A186" s="2" t="s">
        <v>27</v>
      </c>
      <c r="B186" s="2">
        <v>169</v>
      </c>
      <c r="C186"/>
      <c r="E186" s="2" t="s">
        <v>49</v>
      </c>
      <c r="F186" s="2">
        <v>2</v>
      </c>
      <c r="V186"/>
      <c r="W186"/>
    </row>
    <row r="187" spans="1:23" x14ac:dyDescent="0.3">
      <c r="A187" s="2" t="s">
        <v>11</v>
      </c>
      <c r="B187" s="2">
        <v>123</v>
      </c>
      <c r="C187"/>
      <c r="E187" s="2" t="s">
        <v>34</v>
      </c>
      <c r="F187" s="2">
        <v>2</v>
      </c>
    </row>
    <row r="188" spans="1:23" x14ac:dyDescent="0.3">
      <c r="A188" s="2" t="s">
        <v>16</v>
      </c>
      <c r="B188" s="2">
        <v>22</v>
      </c>
      <c r="C188"/>
      <c r="E188" s="2" t="s">
        <v>226</v>
      </c>
      <c r="F188" s="2">
        <v>2</v>
      </c>
    </row>
    <row r="189" spans="1:23" x14ac:dyDescent="0.3">
      <c r="A189" s="2" t="s">
        <v>46</v>
      </c>
      <c r="B189" s="2">
        <v>16</v>
      </c>
      <c r="C189"/>
      <c r="E189" s="2" t="s">
        <v>466</v>
      </c>
      <c r="F189" s="2">
        <v>1</v>
      </c>
    </row>
    <row r="190" spans="1:23" x14ac:dyDescent="0.3">
      <c r="A190" s="2" t="s">
        <v>14</v>
      </c>
      <c r="B190" s="2">
        <v>7</v>
      </c>
      <c r="C190"/>
      <c r="E190" s="2" t="s">
        <v>715</v>
      </c>
      <c r="F190" s="2">
        <v>1</v>
      </c>
    </row>
    <row r="191" spans="1:23" x14ac:dyDescent="0.3">
      <c r="A191" s="2" t="s">
        <v>286</v>
      </c>
      <c r="B191" s="2">
        <v>1</v>
      </c>
      <c r="C191"/>
      <c r="E191" s="2" t="s">
        <v>45</v>
      </c>
      <c r="F191" s="2">
        <v>1</v>
      </c>
    </row>
    <row r="192" spans="1:23" x14ac:dyDescent="0.3">
      <c r="A192" s="2" t="s">
        <v>32</v>
      </c>
      <c r="B192" s="2">
        <v>356</v>
      </c>
      <c r="C192"/>
      <c r="E192" s="2" t="s">
        <v>346</v>
      </c>
      <c r="F192" s="2">
        <v>1</v>
      </c>
    </row>
    <row r="193" spans="1:6" x14ac:dyDescent="0.3">
      <c r="A193"/>
      <c r="B193"/>
      <c r="C193"/>
      <c r="E193" s="2" t="s">
        <v>55</v>
      </c>
      <c r="F193" s="2">
        <v>1</v>
      </c>
    </row>
    <row r="194" spans="1:6" x14ac:dyDescent="0.3">
      <c r="A194"/>
      <c r="B194"/>
      <c r="C194"/>
      <c r="E194" s="2" t="s">
        <v>51</v>
      </c>
      <c r="F194" s="2">
        <v>1</v>
      </c>
    </row>
    <row r="195" spans="1:6" x14ac:dyDescent="0.3">
      <c r="A195"/>
      <c r="B195"/>
      <c r="C195"/>
      <c r="E195" s="2" t="s">
        <v>21</v>
      </c>
      <c r="F195" s="2">
        <v>1</v>
      </c>
    </row>
    <row r="196" spans="1:6" x14ac:dyDescent="0.3">
      <c r="A196"/>
      <c r="B196"/>
      <c r="C196"/>
      <c r="E196" s="2" t="s">
        <v>118</v>
      </c>
      <c r="F196" s="2">
        <v>1</v>
      </c>
    </row>
    <row r="197" spans="1:6" x14ac:dyDescent="0.3">
      <c r="A197"/>
      <c r="B197"/>
      <c r="C197"/>
      <c r="E197" s="2" t="s">
        <v>682</v>
      </c>
      <c r="F197" s="2">
        <v>1</v>
      </c>
    </row>
    <row r="198" spans="1:6" x14ac:dyDescent="0.3">
      <c r="A198"/>
      <c r="B198"/>
      <c r="C198"/>
      <c r="E198" s="2" t="s">
        <v>42</v>
      </c>
      <c r="F198" s="2">
        <v>1</v>
      </c>
    </row>
    <row r="199" spans="1:6" x14ac:dyDescent="0.3">
      <c r="A199"/>
      <c r="B199"/>
      <c r="C199"/>
      <c r="E199" s="2" t="s">
        <v>159</v>
      </c>
      <c r="F199" s="2">
        <v>1</v>
      </c>
    </row>
    <row r="200" spans="1:6" x14ac:dyDescent="0.3">
      <c r="A200"/>
      <c r="B200"/>
      <c r="C200"/>
      <c r="E200" s="2" t="s">
        <v>224</v>
      </c>
      <c r="F200" s="2">
        <v>1</v>
      </c>
    </row>
    <row r="201" spans="1:6" x14ac:dyDescent="0.3">
      <c r="A201"/>
      <c r="B201"/>
      <c r="C201"/>
      <c r="E201" s="32" t="s">
        <v>61</v>
      </c>
      <c r="F201" s="2">
        <v>58</v>
      </c>
    </row>
    <row r="202" spans="1:6" x14ac:dyDescent="0.3">
      <c r="A202"/>
      <c r="B202"/>
      <c r="C202"/>
      <c r="E202" s="2" t="s">
        <v>612</v>
      </c>
      <c r="F202" s="2">
        <v>9</v>
      </c>
    </row>
    <row r="203" spans="1:6" x14ac:dyDescent="0.3">
      <c r="A203"/>
      <c r="B203"/>
      <c r="C203"/>
      <c r="E203" s="2" t="s">
        <v>159</v>
      </c>
      <c r="F203" s="2">
        <v>8</v>
      </c>
    </row>
    <row r="204" spans="1:6" x14ac:dyDescent="0.3">
      <c r="A204"/>
      <c r="B204"/>
      <c r="C204"/>
      <c r="E204" s="2" t="s">
        <v>39</v>
      </c>
      <c r="F204" s="2">
        <v>7</v>
      </c>
    </row>
    <row r="205" spans="1:6" x14ac:dyDescent="0.3">
      <c r="A205"/>
      <c r="B205"/>
      <c r="C205"/>
      <c r="E205" s="2" t="s">
        <v>466</v>
      </c>
      <c r="F205" s="2">
        <v>6</v>
      </c>
    </row>
    <row r="206" spans="1:6" x14ac:dyDescent="0.3">
      <c r="A206"/>
      <c r="B206"/>
      <c r="C206"/>
      <c r="E206" s="2" t="s">
        <v>19</v>
      </c>
      <c r="F206" s="2">
        <v>5</v>
      </c>
    </row>
    <row r="207" spans="1:6" x14ac:dyDescent="0.3">
      <c r="A207"/>
      <c r="B207"/>
      <c r="C207"/>
      <c r="E207" s="2" t="s">
        <v>29</v>
      </c>
      <c r="F207" s="2">
        <v>4</v>
      </c>
    </row>
    <row r="208" spans="1:6" x14ac:dyDescent="0.3">
      <c r="A208"/>
      <c r="B208"/>
      <c r="C208"/>
      <c r="E208" s="2" t="s">
        <v>61</v>
      </c>
      <c r="F208" s="2">
        <v>4</v>
      </c>
    </row>
    <row r="209" spans="1:6" x14ac:dyDescent="0.3">
      <c r="A209" s="16" t="s">
        <v>23</v>
      </c>
      <c r="B209" s="2" t="s">
        <v>145</v>
      </c>
      <c r="C209"/>
      <c r="E209" s="2" t="s">
        <v>93</v>
      </c>
      <c r="F209" s="2">
        <v>3</v>
      </c>
    </row>
    <row r="210" spans="1:6" x14ac:dyDescent="0.3">
      <c r="A210" s="16" t="s">
        <v>373</v>
      </c>
      <c r="B210" s="2" t="s">
        <v>145</v>
      </c>
      <c r="C210"/>
      <c r="E210" s="2" t="s">
        <v>13</v>
      </c>
      <c r="F210" s="2">
        <v>2</v>
      </c>
    </row>
    <row r="211" spans="1:6" x14ac:dyDescent="0.3">
      <c r="A211" s="16" t="s">
        <v>7</v>
      </c>
      <c r="B211" s="2" t="s">
        <v>14</v>
      </c>
      <c r="C211"/>
      <c r="E211" s="2" t="s">
        <v>34</v>
      </c>
      <c r="F211" s="2">
        <v>2</v>
      </c>
    </row>
    <row r="212" spans="1:6" x14ac:dyDescent="0.3">
      <c r="C212"/>
      <c r="E212" s="2" t="s">
        <v>243</v>
      </c>
      <c r="F212" s="2">
        <v>1</v>
      </c>
    </row>
    <row r="213" spans="1:6" x14ac:dyDescent="0.3">
      <c r="A213" s="16" t="s">
        <v>31</v>
      </c>
      <c r="B213" s="2" t="s">
        <v>144</v>
      </c>
      <c r="C213"/>
      <c r="E213" s="2" t="s">
        <v>35</v>
      </c>
      <c r="F213" s="2">
        <v>1</v>
      </c>
    </row>
    <row r="214" spans="1:6" x14ac:dyDescent="0.3">
      <c r="A214" s="2" t="s">
        <v>8</v>
      </c>
      <c r="B214" s="2">
        <v>73</v>
      </c>
      <c r="C214"/>
      <c r="E214" s="2" t="s">
        <v>45</v>
      </c>
      <c r="F214" s="2">
        <v>1</v>
      </c>
    </row>
    <row r="215" spans="1:6" x14ac:dyDescent="0.3">
      <c r="A215" s="32" t="s">
        <v>353</v>
      </c>
      <c r="B215" s="2">
        <v>73</v>
      </c>
      <c r="C215"/>
      <c r="E215" s="2" t="s">
        <v>201</v>
      </c>
      <c r="F215" s="2">
        <v>1</v>
      </c>
    </row>
    <row r="216" spans="1:6" x14ac:dyDescent="0.3">
      <c r="A216" s="2" t="s">
        <v>27</v>
      </c>
      <c r="B216" s="2">
        <v>7</v>
      </c>
      <c r="C216"/>
      <c r="E216" s="2" t="s">
        <v>118</v>
      </c>
      <c r="F216" s="2">
        <v>1</v>
      </c>
    </row>
    <row r="217" spans="1:6" x14ac:dyDescent="0.3">
      <c r="A217" s="32" t="s">
        <v>353</v>
      </c>
      <c r="B217" s="2">
        <v>7</v>
      </c>
      <c r="C217"/>
      <c r="E217" s="2" t="s">
        <v>52</v>
      </c>
      <c r="F217" s="2">
        <v>1</v>
      </c>
    </row>
    <row r="218" spans="1:6" x14ac:dyDescent="0.3">
      <c r="A218" s="2" t="s">
        <v>32</v>
      </c>
      <c r="B218" s="2">
        <v>80</v>
      </c>
      <c r="C218"/>
      <c r="E218" s="2" t="s">
        <v>42</v>
      </c>
      <c r="F218" s="2">
        <v>1</v>
      </c>
    </row>
    <row r="219" spans="1:6" x14ac:dyDescent="0.3">
      <c r="A219"/>
      <c r="B219"/>
      <c r="C219"/>
      <c r="E219" s="2" t="s">
        <v>36</v>
      </c>
      <c r="F219" s="2">
        <v>1</v>
      </c>
    </row>
    <row r="220" spans="1:6" x14ac:dyDescent="0.3">
      <c r="A220"/>
      <c r="B220"/>
      <c r="C220"/>
      <c r="E220" s="2" t="s">
        <v>32</v>
      </c>
      <c r="F220" s="2">
        <v>256</v>
      </c>
    </row>
    <row r="221" spans="1:6" x14ac:dyDescent="0.3">
      <c r="A221"/>
      <c r="B221"/>
      <c r="C221"/>
      <c r="E221"/>
      <c r="F221"/>
    </row>
    <row r="222" spans="1:6" x14ac:dyDescent="0.3">
      <c r="A222"/>
      <c r="B222"/>
      <c r="C222"/>
      <c r="E222"/>
      <c r="F222"/>
    </row>
    <row r="223" spans="1:6" x14ac:dyDescent="0.3">
      <c r="A223"/>
      <c r="B223"/>
      <c r="C223"/>
      <c r="E223"/>
      <c r="F223"/>
    </row>
    <row r="224" spans="1:6" x14ac:dyDescent="0.3">
      <c r="A224"/>
      <c r="B224"/>
      <c r="C224"/>
      <c r="E224"/>
      <c r="F224"/>
    </row>
    <row r="225" spans="1:6" x14ac:dyDescent="0.3">
      <c r="A225"/>
      <c r="B225"/>
      <c r="C225"/>
      <c r="E225"/>
      <c r="F225"/>
    </row>
    <row r="226" spans="1:6" x14ac:dyDescent="0.3">
      <c r="A226"/>
      <c r="B226"/>
      <c r="C226"/>
      <c r="E226"/>
      <c r="F226"/>
    </row>
    <row r="227" spans="1:6" x14ac:dyDescent="0.3">
      <c r="A227"/>
      <c r="B227"/>
      <c r="C227"/>
      <c r="E227"/>
      <c r="F227"/>
    </row>
    <row r="228" spans="1:6" x14ac:dyDescent="0.3">
      <c r="A228"/>
      <c r="B228"/>
      <c r="C228"/>
      <c r="E228"/>
      <c r="F228"/>
    </row>
    <row r="229" spans="1:6" x14ac:dyDescent="0.3">
      <c r="A229"/>
      <c r="B229"/>
      <c r="C229"/>
      <c r="E229"/>
      <c r="F229"/>
    </row>
    <row r="230" spans="1:6" x14ac:dyDescent="0.3">
      <c r="A230"/>
      <c r="B230"/>
      <c r="C230"/>
      <c r="E230"/>
      <c r="F230"/>
    </row>
    <row r="231" spans="1:6" x14ac:dyDescent="0.3">
      <c r="A231"/>
      <c r="B231"/>
      <c r="C231"/>
      <c r="E231"/>
      <c r="F231"/>
    </row>
    <row r="232" spans="1:6" x14ac:dyDescent="0.3">
      <c r="A232"/>
      <c r="B232"/>
      <c r="C232"/>
      <c r="E232"/>
      <c r="F232"/>
    </row>
    <row r="233" spans="1:6" x14ac:dyDescent="0.3">
      <c r="A233"/>
      <c r="B233"/>
      <c r="C233"/>
      <c r="E233"/>
      <c r="F233"/>
    </row>
    <row r="234" spans="1:6" x14ac:dyDescent="0.3">
      <c r="A234"/>
      <c r="B234"/>
      <c r="C234"/>
      <c r="E234"/>
      <c r="F234"/>
    </row>
    <row r="235" spans="1:6" x14ac:dyDescent="0.3">
      <c r="A235"/>
      <c r="B235"/>
      <c r="C235"/>
      <c r="E235"/>
      <c r="F235"/>
    </row>
    <row r="236" spans="1:6" x14ac:dyDescent="0.3">
      <c r="A236"/>
      <c r="B236"/>
      <c r="C236"/>
      <c r="E236"/>
      <c r="F236"/>
    </row>
    <row r="237" spans="1:6" x14ac:dyDescent="0.3">
      <c r="A237"/>
      <c r="B237"/>
      <c r="C237"/>
      <c r="E237"/>
      <c r="F237"/>
    </row>
    <row r="238" spans="1:6" x14ac:dyDescent="0.3">
      <c r="A238"/>
      <c r="B238"/>
      <c r="C238" s="16" t="s">
        <v>23</v>
      </c>
      <c r="D238" s="2" t="s">
        <v>145</v>
      </c>
      <c r="E238"/>
      <c r="F238"/>
    </row>
    <row r="239" spans="1:6" x14ac:dyDescent="0.3">
      <c r="A239"/>
      <c r="B239"/>
      <c r="C239" s="16" t="s">
        <v>373</v>
      </c>
      <c r="D239" s="2" t="s">
        <v>145</v>
      </c>
      <c r="E239"/>
      <c r="F239"/>
    </row>
    <row r="240" spans="1:6" x14ac:dyDescent="0.3">
      <c r="A240"/>
      <c r="B240"/>
      <c r="C240" s="16" t="s">
        <v>7</v>
      </c>
      <c r="D240" s="2" t="s">
        <v>16</v>
      </c>
      <c r="E240"/>
      <c r="F240"/>
    </row>
    <row r="241" spans="1:6" x14ac:dyDescent="0.3">
      <c r="A241"/>
      <c r="B241"/>
      <c r="E241"/>
      <c r="F241"/>
    </row>
    <row r="242" spans="1:6" x14ac:dyDescent="0.3">
      <c r="A242"/>
      <c r="B242"/>
      <c r="C242" s="16" t="s">
        <v>31</v>
      </c>
      <c r="D242" s="2" t="s">
        <v>144</v>
      </c>
      <c r="E242"/>
      <c r="F242"/>
    </row>
    <row r="243" spans="1:6" x14ac:dyDescent="0.3">
      <c r="A243"/>
      <c r="B243"/>
      <c r="C243" s="2" t="s">
        <v>8</v>
      </c>
      <c r="D243" s="2">
        <v>38</v>
      </c>
      <c r="E243"/>
      <c r="F243"/>
    </row>
    <row r="244" spans="1:6" x14ac:dyDescent="0.3">
      <c r="A244"/>
      <c r="B244"/>
      <c r="C244" s="32" t="s">
        <v>61</v>
      </c>
      <c r="D244" s="2">
        <v>37</v>
      </c>
      <c r="E244"/>
      <c r="F244"/>
    </row>
    <row r="245" spans="1:6" x14ac:dyDescent="0.3">
      <c r="A245"/>
      <c r="B245"/>
      <c r="C245" s="32" t="s">
        <v>740</v>
      </c>
      <c r="D245" s="2">
        <v>1</v>
      </c>
      <c r="E245"/>
      <c r="F245"/>
    </row>
    <row r="246" spans="1:6" x14ac:dyDescent="0.3">
      <c r="A246"/>
      <c r="B246"/>
      <c r="C246" s="2" t="s">
        <v>27</v>
      </c>
      <c r="D246" s="2">
        <v>21</v>
      </c>
      <c r="E246"/>
      <c r="F246"/>
    </row>
    <row r="247" spans="1:6" x14ac:dyDescent="0.3">
      <c r="A247"/>
      <c r="B247"/>
      <c r="C247" s="32" t="s">
        <v>61</v>
      </c>
      <c r="D247" s="2">
        <v>21</v>
      </c>
      <c r="E247"/>
      <c r="F247"/>
    </row>
    <row r="248" spans="1:6" x14ac:dyDescent="0.3">
      <c r="A248"/>
      <c r="B248"/>
      <c r="C248" s="2" t="s">
        <v>32</v>
      </c>
      <c r="D248" s="2">
        <v>59</v>
      </c>
      <c r="E248"/>
      <c r="F248"/>
    </row>
    <row r="249" spans="1:6" x14ac:dyDescent="0.3">
      <c r="A249"/>
      <c r="B249"/>
      <c r="C249"/>
      <c r="D249"/>
      <c r="E249"/>
      <c r="F249"/>
    </row>
    <row r="250" spans="1:6" x14ac:dyDescent="0.3">
      <c r="A250"/>
      <c r="B250"/>
      <c r="C250"/>
      <c r="E250"/>
      <c r="F250"/>
    </row>
    <row r="251" spans="1:6" x14ac:dyDescent="0.3">
      <c r="A251"/>
      <c r="B251"/>
      <c r="C251"/>
      <c r="E251"/>
      <c r="F251"/>
    </row>
    <row r="252" spans="1:6" x14ac:dyDescent="0.3">
      <c r="A252"/>
      <c r="B252"/>
      <c r="C252"/>
      <c r="E252"/>
      <c r="F252"/>
    </row>
    <row r="253" spans="1:6" x14ac:dyDescent="0.3">
      <c r="A253"/>
      <c r="B253"/>
      <c r="C253"/>
      <c r="E253"/>
      <c r="F253"/>
    </row>
    <row r="254" spans="1:6" x14ac:dyDescent="0.3">
      <c r="A254"/>
      <c r="B254"/>
      <c r="C254"/>
      <c r="E254"/>
      <c r="F254"/>
    </row>
    <row r="255" spans="1:6" x14ac:dyDescent="0.3">
      <c r="A255"/>
      <c r="B255"/>
      <c r="C255"/>
    </row>
    <row r="256" spans="1:6" x14ac:dyDescent="0.3">
      <c r="A256"/>
      <c r="B256"/>
      <c r="C256"/>
    </row>
    <row r="257" spans="1:6" x14ac:dyDescent="0.3">
      <c r="A257"/>
      <c r="B257"/>
      <c r="C257"/>
    </row>
    <row r="258" spans="1:6" x14ac:dyDescent="0.3">
      <c r="A258"/>
      <c r="B258"/>
      <c r="C258"/>
    </row>
    <row r="259" spans="1:6" x14ac:dyDescent="0.3">
      <c r="A259"/>
      <c r="B259"/>
      <c r="C259"/>
    </row>
    <row r="260" spans="1:6" x14ac:dyDescent="0.3">
      <c r="A260"/>
      <c r="B260"/>
      <c r="C260"/>
    </row>
    <row r="261" spans="1:6" x14ac:dyDescent="0.3">
      <c r="A261"/>
      <c r="B261"/>
      <c r="C261"/>
    </row>
    <row r="262" spans="1:6" x14ac:dyDescent="0.3">
      <c r="A262"/>
      <c r="B262"/>
      <c r="C262"/>
    </row>
    <row r="263" spans="1:6" x14ac:dyDescent="0.3">
      <c r="A263"/>
      <c r="B263"/>
      <c r="C263"/>
    </row>
    <row r="264" spans="1:6" x14ac:dyDescent="0.3">
      <c r="A264"/>
      <c r="B264"/>
      <c r="C264"/>
    </row>
    <row r="265" spans="1:6" x14ac:dyDescent="0.3">
      <c r="A265"/>
      <c r="B265"/>
      <c r="C265"/>
    </row>
    <row r="266" spans="1:6" x14ac:dyDescent="0.3">
      <c r="A266"/>
      <c r="B266"/>
      <c r="C266"/>
    </row>
    <row r="267" spans="1:6" x14ac:dyDescent="0.3">
      <c r="A267"/>
      <c r="B267"/>
      <c r="C267"/>
      <c r="E267" s="16" t="s">
        <v>23</v>
      </c>
      <c r="F267" s="2" t="s">
        <v>145</v>
      </c>
    </row>
    <row r="268" spans="1:6" x14ac:dyDescent="0.3">
      <c r="A268"/>
      <c r="B268"/>
      <c r="C268"/>
      <c r="E268" s="16" t="s">
        <v>373</v>
      </c>
      <c r="F268" s="2" t="s">
        <v>145</v>
      </c>
    </row>
    <row r="269" spans="1:6" x14ac:dyDescent="0.3">
      <c r="A269"/>
      <c r="B269"/>
      <c r="C269"/>
      <c r="E269" s="16" t="s">
        <v>7</v>
      </c>
      <c r="F269" s="2" t="s">
        <v>11</v>
      </c>
    </row>
    <row r="270" spans="1:6" x14ac:dyDescent="0.3">
      <c r="A270"/>
      <c r="B270"/>
      <c r="C270"/>
    </row>
    <row r="271" spans="1:6" x14ac:dyDescent="0.3">
      <c r="A271"/>
      <c r="B271"/>
      <c r="C271"/>
      <c r="E271" s="16" t="s">
        <v>31</v>
      </c>
      <c r="F271" s="2" t="s">
        <v>144</v>
      </c>
    </row>
    <row r="272" spans="1:6" x14ac:dyDescent="0.3">
      <c r="A272"/>
      <c r="B272"/>
      <c r="C272"/>
      <c r="E272" s="2" t="s">
        <v>27</v>
      </c>
      <c r="F272" s="2">
        <v>123</v>
      </c>
    </row>
    <row r="273" spans="1:6" x14ac:dyDescent="0.3">
      <c r="A273"/>
      <c r="B273"/>
      <c r="C273"/>
      <c r="E273" s="32" t="s">
        <v>349</v>
      </c>
      <c r="F273" s="2">
        <v>78</v>
      </c>
    </row>
    <row r="274" spans="1:6" x14ac:dyDescent="0.3">
      <c r="A274"/>
      <c r="B274"/>
      <c r="C274"/>
      <c r="E274" s="32" t="s">
        <v>740</v>
      </c>
      <c r="F274" s="2">
        <v>21</v>
      </c>
    </row>
    <row r="275" spans="1:6" x14ac:dyDescent="0.3">
      <c r="A275"/>
      <c r="B275"/>
      <c r="C275"/>
      <c r="E275" s="32" t="s">
        <v>347</v>
      </c>
      <c r="F275" s="2">
        <v>7</v>
      </c>
    </row>
    <row r="276" spans="1:6" x14ac:dyDescent="0.3">
      <c r="A276"/>
      <c r="B276"/>
      <c r="C276"/>
      <c r="E276" s="32" t="s">
        <v>348</v>
      </c>
      <c r="F276" s="2">
        <v>6</v>
      </c>
    </row>
    <row r="277" spans="1:6" x14ac:dyDescent="0.3">
      <c r="A277"/>
      <c r="B277"/>
      <c r="C277"/>
      <c r="E277" s="32" t="s">
        <v>351</v>
      </c>
      <c r="F277" s="2">
        <v>5</v>
      </c>
    </row>
    <row r="278" spans="1:6" x14ac:dyDescent="0.3">
      <c r="A278"/>
      <c r="B278"/>
      <c r="C278"/>
      <c r="E278" s="32" t="s">
        <v>353</v>
      </c>
      <c r="F278" s="2">
        <v>3</v>
      </c>
    </row>
    <row r="279" spans="1:6" x14ac:dyDescent="0.3">
      <c r="A279"/>
      <c r="B279"/>
      <c r="C279"/>
      <c r="E279" s="32" t="s">
        <v>350</v>
      </c>
      <c r="F279" s="2">
        <v>3</v>
      </c>
    </row>
    <row r="280" spans="1:6" x14ac:dyDescent="0.3">
      <c r="A280"/>
      <c r="B280"/>
      <c r="C280"/>
      <c r="E280" s="2" t="s">
        <v>8</v>
      </c>
      <c r="F280" s="2">
        <v>63</v>
      </c>
    </row>
    <row r="281" spans="1:6" x14ac:dyDescent="0.3">
      <c r="A281"/>
      <c r="B281"/>
      <c r="C281"/>
      <c r="E281" s="32" t="s">
        <v>349</v>
      </c>
      <c r="F281" s="2">
        <v>37</v>
      </c>
    </row>
    <row r="282" spans="1:6" x14ac:dyDescent="0.3">
      <c r="A282"/>
      <c r="B282"/>
      <c r="C282"/>
      <c r="E282" s="32" t="s">
        <v>740</v>
      </c>
      <c r="F282" s="2">
        <v>11</v>
      </c>
    </row>
    <row r="283" spans="1:6" x14ac:dyDescent="0.3">
      <c r="A283"/>
      <c r="B283"/>
      <c r="C283"/>
      <c r="E283" s="32" t="s">
        <v>348</v>
      </c>
      <c r="F283" s="2">
        <v>7</v>
      </c>
    </row>
    <row r="284" spans="1:6" x14ac:dyDescent="0.3">
      <c r="A284"/>
      <c r="B284"/>
      <c r="C284"/>
      <c r="E284" s="32" t="s">
        <v>351</v>
      </c>
      <c r="F284" s="2">
        <v>5</v>
      </c>
    </row>
    <row r="285" spans="1:6" x14ac:dyDescent="0.3">
      <c r="A285"/>
      <c r="B285"/>
      <c r="C285"/>
      <c r="E285" s="32" t="s">
        <v>347</v>
      </c>
      <c r="F285" s="2">
        <v>2</v>
      </c>
    </row>
    <row r="286" spans="1:6" x14ac:dyDescent="0.3">
      <c r="A286"/>
      <c r="B286"/>
      <c r="C286"/>
      <c r="E286" s="32" t="s">
        <v>350</v>
      </c>
      <c r="F286" s="2">
        <v>1</v>
      </c>
    </row>
    <row r="287" spans="1:6" x14ac:dyDescent="0.3">
      <c r="A287"/>
      <c r="B287"/>
      <c r="C287"/>
      <c r="E287" s="2" t="s">
        <v>32</v>
      </c>
      <c r="F287" s="2">
        <v>186</v>
      </c>
    </row>
    <row r="288" spans="1:6" x14ac:dyDescent="0.3">
      <c r="A288"/>
      <c r="B288"/>
      <c r="C288"/>
      <c r="E288"/>
      <c r="F288"/>
    </row>
    <row r="289" spans="1:3" x14ac:dyDescent="0.3">
      <c r="A289"/>
      <c r="B289"/>
      <c r="C289"/>
    </row>
    <row r="290" spans="1:3" x14ac:dyDescent="0.3">
      <c r="A290"/>
      <c r="B290"/>
      <c r="C290"/>
    </row>
    <row r="291" spans="1:3" x14ac:dyDescent="0.3">
      <c r="A291"/>
      <c r="B291"/>
      <c r="C291"/>
    </row>
    <row r="292" spans="1:3" x14ac:dyDescent="0.3">
      <c r="A292"/>
      <c r="B292"/>
      <c r="C292"/>
    </row>
    <row r="293" spans="1:3" x14ac:dyDescent="0.3">
      <c r="A293"/>
      <c r="B293"/>
      <c r="C293"/>
    </row>
    <row r="294" spans="1:3" x14ac:dyDescent="0.3">
      <c r="A294"/>
      <c r="B294"/>
      <c r="C294"/>
    </row>
    <row r="295" spans="1:3" x14ac:dyDescent="0.3">
      <c r="A295"/>
      <c r="B295"/>
      <c r="C295"/>
    </row>
    <row r="296" spans="1:3" x14ac:dyDescent="0.3">
      <c r="A296"/>
      <c r="B296"/>
      <c r="C296"/>
    </row>
    <row r="297" spans="1:3" x14ac:dyDescent="0.3">
      <c r="A297"/>
      <c r="B297"/>
      <c r="C297"/>
    </row>
    <row r="298" spans="1:3" x14ac:dyDescent="0.3">
      <c r="A298"/>
      <c r="B298"/>
      <c r="C298"/>
    </row>
    <row r="299" spans="1:3" x14ac:dyDescent="0.3">
      <c r="A299"/>
      <c r="B299"/>
      <c r="C299"/>
    </row>
    <row r="300" spans="1:3" x14ac:dyDescent="0.3">
      <c r="A300"/>
      <c r="B300"/>
      <c r="C300"/>
    </row>
    <row r="301" spans="1:3" x14ac:dyDescent="0.3">
      <c r="A301"/>
      <c r="B301"/>
      <c r="C301"/>
    </row>
    <row r="302" spans="1:3" x14ac:dyDescent="0.3">
      <c r="A302"/>
      <c r="B302"/>
      <c r="C302"/>
    </row>
    <row r="303" spans="1:3" x14ac:dyDescent="0.3">
      <c r="A303"/>
      <c r="B303"/>
      <c r="C303"/>
    </row>
    <row r="304" spans="1:3" x14ac:dyDescent="0.3">
      <c r="A304"/>
      <c r="B304"/>
      <c r="C304"/>
    </row>
    <row r="305" spans="1:8" x14ac:dyDescent="0.3">
      <c r="A305"/>
      <c r="B305"/>
      <c r="C305"/>
      <c r="G305" s="16" t="s">
        <v>23</v>
      </c>
      <c r="H305" s="2" t="s">
        <v>145</v>
      </c>
    </row>
    <row r="306" spans="1:8" x14ac:dyDescent="0.3">
      <c r="A306"/>
      <c r="B306"/>
      <c r="C306"/>
      <c r="G306" s="16" t="s">
        <v>373</v>
      </c>
      <c r="H306" s="2" t="s">
        <v>145</v>
      </c>
    </row>
    <row r="307" spans="1:8" x14ac:dyDescent="0.3">
      <c r="A307"/>
      <c r="B307"/>
      <c r="C307"/>
      <c r="G307" s="16" t="s">
        <v>7</v>
      </c>
      <c r="H307" s="2" t="s">
        <v>147</v>
      </c>
    </row>
    <row r="308" spans="1:8" x14ac:dyDescent="0.3">
      <c r="A308"/>
      <c r="B308"/>
      <c r="C308"/>
    </row>
    <row r="309" spans="1:8" x14ac:dyDescent="0.3">
      <c r="A309"/>
      <c r="B309"/>
      <c r="C309"/>
      <c r="G309" s="16" t="s">
        <v>31</v>
      </c>
      <c r="H309" s="2" t="s">
        <v>144</v>
      </c>
    </row>
    <row r="310" spans="1:8" x14ac:dyDescent="0.3">
      <c r="A310"/>
      <c r="B310"/>
      <c r="C310"/>
      <c r="G310" s="2" t="s">
        <v>27</v>
      </c>
      <c r="H310" s="2">
        <v>17</v>
      </c>
    </row>
    <row r="311" spans="1:8" x14ac:dyDescent="0.3">
      <c r="A311"/>
      <c r="B311"/>
      <c r="C311"/>
      <c r="G311" s="32" t="s">
        <v>479</v>
      </c>
      <c r="H311" s="2">
        <v>8</v>
      </c>
    </row>
    <row r="312" spans="1:8" x14ac:dyDescent="0.3">
      <c r="A312"/>
      <c r="B312"/>
      <c r="C312"/>
      <c r="G312" s="32" t="s">
        <v>351</v>
      </c>
      <c r="H312" s="2">
        <v>5</v>
      </c>
    </row>
    <row r="313" spans="1:8" x14ac:dyDescent="0.3">
      <c r="A313"/>
      <c r="B313"/>
      <c r="C313"/>
      <c r="G313" s="32" t="s">
        <v>350</v>
      </c>
      <c r="H313" s="2">
        <v>3</v>
      </c>
    </row>
    <row r="314" spans="1:8" x14ac:dyDescent="0.3">
      <c r="A314"/>
      <c r="B314"/>
      <c r="C314"/>
      <c r="G314" s="32" t="s">
        <v>49</v>
      </c>
      <c r="H314" s="2">
        <v>1</v>
      </c>
    </row>
    <row r="315" spans="1:8" x14ac:dyDescent="0.3">
      <c r="A315"/>
      <c r="B315"/>
      <c r="C315"/>
      <c r="G315" s="2" t="s">
        <v>8</v>
      </c>
      <c r="H315" s="2">
        <v>11</v>
      </c>
    </row>
    <row r="316" spans="1:8" x14ac:dyDescent="0.3">
      <c r="A316"/>
      <c r="B316"/>
      <c r="C316"/>
      <c r="G316" s="32" t="s">
        <v>351</v>
      </c>
      <c r="H316" s="2">
        <v>8</v>
      </c>
    </row>
    <row r="317" spans="1:8" x14ac:dyDescent="0.3">
      <c r="A317"/>
      <c r="B317"/>
      <c r="C317"/>
      <c r="G317" s="32" t="s">
        <v>479</v>
      </c>
      <c r="H317" s="2">
        <v>3</v>
      </c>
    </row>
    <row r="318" spans="1:8" x14ac:dyDescent="0.3">
      <c r="A318"/>
      <c r="B318"/>
      <c r="C318"/>
      <c r="G318" s="2" t="s">
        <v>32</v>
      </c>
      <c r="H318" s="2">
        <v>28</v>
      </c>
    </row>
    <row r="319" spans="1:8" x14ac:dyDescent="0.3">
      <c r="A319"/>
      <c r="B319"/>
      <c r="C319"/>
      <c r="G319"/>
      <c r="H319"/>
    </row>
    <row r="320" spans="1:8" x14ac:dyDescent="0.3">
      <c r="A320"/>
      <c r="B320"/>
      <c r="C320"/>
      <c r="G320"/>
      <c r="H320"/>
    </row>
    <row r="321" spans="1:8" x14ac:dyDescent="0.3">
      <c r="A321"/>
      <c r="B321"/>
      <c r="C321"/>
      <c r="G321"/>
      <c r="H321"/>
    </row>
    <row r="322" spans="1:8" x14ac:dyDescent="0.3">
      <c r="A322"/>
      <c r="B322"/>
      <c r="C322"/>
      <c r="G322"/>
      <c r="H322"/>
    </row>
    <row r="323" spans="1:8" x14ac:dyDescent="0.3">
      <c r="A323"/>
      <c r="B323"/>
      <c r="C323"/>
      <c r="G323"/>
      <c r="H323"/>
    </row>
    <row r="324" spans="1:8" x14ac:dyDescent="0.3">
      <c r="A324"/>
      <c r="B324"/>
      <c r="C324"/>
      <c r="G324" s="16" t="s">
        <v>23</v>
      </c>
      <c r="H324" s="2" t="s">
        <v>145</v>
      </c>
    </row>
    <row r="325" spans="1:8" x14ac:dyDescent="0.3">
      <c r="A325"/>
      <c r="B325"/>
      <c r="C325"/>
      <c r="G325" s="16" t="s">
        <v>373</v>
      </c>
      <c r="H325" s="2" t="s">
        <v>145</v>
      </c>
    </row>
    <row r="326" spans="1:8" x14ac:dyDescent="0.3">
      <c r="A326"/>
      <c r="B326"/>
      <c r="C326"/>
      <c r="G326" s="16" t="s">
        <v>7</v>
      </c>
      <c r="H326" s="2" t="s">
        <v>145</v>
      </c>
    </row>
    <row r="327" spans="1:8" x14ac:dyDescent="0.3">
      <c r="A327"/>
      <c r="B327"/>
      <c r="C327"/>
    </row>
    <row r="328" spans="1:8" x14ac:dyDescent="0.3">
      <c r="A328"/>
      <c r="B328"/>
      <c r="C328"/>
      <c r="G328" s="16" t="s">
        <v>31</v>
      </c>
      <c r="H328" s="2" t="s">
        <v>144</v>
      </c>
    </row>
    <row r="329" spans="1:8" x14ac:dyDescent="0.3">
      <c r="A329"/>
      <c r="B329"/>
      <c r="C329"/>
      <c r="G329" s="2" t="s">
        <v>8</v>
      </c>
      <c r="H329" s="2">
        <v>121</v>
      </c>
    </row>
    <row r="330" spans="1:8" x14ac:dyDescent="0.3">
      <c r="A330"/>
      <c r="B330"/>
      <c r="C330"/>
      <c r="G330" s="2" t="s">
        <v>13</v>
      </c>
      <c r="H330" s="2">
        <v>22</v>
      </c>
    </row>
    <row r="331" spans="1:8" x14ac:dyDescent="0.3">
      <c r="A331"/>
      <c r="B331"/>
      <c r="C331"/>
      <c r="G331" s="2" t="s">
        <v>344</v>
      </c>
      <c r="H331" s="2">
        <v>17</v>
      </c>
    </row>
    <row r="332" spans="1:8" x14ac:dyDescent="0.3">
      <c r="A332"/>
      <c r="B332"/>
      <c r="C332"/>
      <c r="G332" s="2" t="s">
        <v>19</v>
      </c>
      <c r="H332" s="2">
        <v>13</v>
      </c>
    </row>
    <row r="333" spans="1:8" x14ac:dyDescent="0.3">
      <c r="A333"/>
      <c r="B333"/>
      <c r="C333"/>
      <c r="G333" s="2" t="s">
        <v>159</v>
      </c>
      <c r="H333" s="2">
        <v>13</v>
      </c>
    </row>
    <row r="334" spans="1:8" x14ac:dyDescent="0.3">
      <c r="A334"/>
      <c r="B334"/>
      <c r="C334"/>
      <c r="G334" s="2" t="s">
        <v>39</v>
      </c>
      <c r="H334" s="2">
        <v>11</v>
      </c>
    </row>
    <row r="335" spans="1:8" x14ac:dyDescent="0.3">
      <c r="A335"/>
      <c r="B335"/>
      <c r="C335"/>
      <c r="G335" s="2" t="s">
        <v>55</v>
      </c>
      <c r="H335" s="2">
        <v>10</v>
      </c>
    </row>
    <row r="336" spans="1:8" x14ac:dyDescent="0.3">
      <c r="A336"/>
      <c r="B336"/>
      <c r="C336"/>
      <c r="G336" s="2" t="s">
        <v>466</v>
      </c>
      <c r="H336" s="2">
        <v>9</v>
      </c>
    </row>
    <row r="337" spans="1:8" x14ac:dyDescent="0.3">
      <c r="A337"/>
      <c r="B337"/>
      <c r="C337"/>
      <c r="G337" s="2" t="s">
        <v>45</v>
      </c>
      <c r="H337" s="2">
        <v>6</v>
      </c>
    </row>
    <row r="338" spans="1:8" x14ac:dyDescent="0.3">
      <c r="A338"/>
      <c r="B338"/>
      <c r="C338"/>
      <c r="G338" s="2" t="s">
        <v>612</v>
      </c>
      <c r="H338" s="2">
        <v>5</v>
      </c>
    </row>
    <row r="339" spans="1:8" x14ac:dyDescent="0.3">
      <c r="A339"/>
      <c r="B339"/>
      <c r="C339"/>
      <c r="G339" s="2" t="s">
        <v>334</v>
      </c>
      <c r="H339" s="2">
        <v>5</v>
      </c>
    </row>
    <row r="340" spans="1:8" x14ac:dyDescent="0.3">
      <c r="A340"/>
      <c r="B340"/>
      <c r="C340"/>
      <c r="G340" s="2" t="s">
        <v>36</v>
      </c>
      <c r="H340" s="2">
        <v>5</v>
      </c>
    </row>
    <row r="341" spans="1:8" x14ac:dyDescent="0.3">
      <c r="A341"/>
      <c r="B341"/>
      <c r="C341"/>
      <c r="G341" s="2" t="s">
        <v>35</v>
      </c>
      <c r="H341" s="2">
        <v>5</v>
      </c>
    </row>
    <row r="342" spans="1:8" x14ac:dyDescent="0.3">
      <c r="A342"/>
      <c r="B342"/>
      <c r="C342"/>
      <c r="G342" s="2" t="s">
        <v>27</v>
      </c>
      <c r="H342" s="2">
        <v>105</v>
      </c>
    </row>
    <row r="343" spans="1:8" x14ac:dyDescent="0.3">
      <c r="A343"/>
      <c r="B343"/>
      <c r="C343"/>
      <c r="G343" s="2" t="s">
        <v>13</v>
      </c>
      <c r="H343" s="2">
        <v>32</v>
      </c>
    </row>
    <row r="344" spans="1:8" x14ac:dyDescent="0.3">
      <c r="A344"/>
      <c r="B344"/>
      <c r="C344"/>
      <c r="G344" s="2" t="s">
        <v>159</v>
      </c>
      <c r="H344" s="2">
        <v>15</v>
      </c>
    </row>
    <row r="345" spans="1:8" x14ac:dyDescent="0.3">
      <c r="A345"/>
      <c r="B345"/>
      <c r="C345"/>
      <c r="G345" s="2" t="s">
        <v>55</v>
      </c>
      <c r="H345" s="2">
        <v>11</v>
      </c>
    </row>
    <row r="346" spans="1:8" x14ac:dyDescent="0.3">
      <c r="A346"/>
      <c r="B346"/>
      <c r="C346"/>
      <c r="G346" s="2" t="s">
        <v>19</v>
      </c>
      <c r="H346" s="2">
        <v>10</v>
      </c>
    </row>
    <row r="347" spans="1:8" x14ac:dyDescent="0.3">
      <c r="A347"/>
      <c r="B347"/>
      <c r="C347"/>
      <c r="G347" s="2" t="s">
        <v>201</v>
      </c>
      <c r="H347" s="2">
        <v>8</v>
      </c>
    </row>
    <row r="348" spans="1:8" x14ac:dyDescent="0.3">
      <c r="A348"/>
      <c r="B348"/>
      <c r="C348"/>
      <c r="G348" s="2" t="s">
        <v>466</v>
      </c>
      <c r="H348" s="2">
        <v>7</v>
      </c>
    </row>
    <row r="349" spans="1:8" x14ac:dyDescent="0.3">
      <c r="A349"/>
      <c r="B349"/>
      <c r="C349"/>
      <c r="G349" s="2" t="s">
        <v>118</v>
      </c>
      <c r="H349" s="2">
        <v>7</v>
      </c>
    </row>
    <row r="350" spans="1:8" x14ac:dyDescent="0.3">
      <c r="A350"/>
      <c r="B350"/>
      <c r="C350"/>
      <c r="G350" s="2" t="s">
        <v>10</v>
      </c>
      <c r="H350" s="2">
        <v>5</v>
      </c>
    </row>
    <row r="351" spans="1:8" x14ac:dyDescent="0.3">
      <c r="A351"/>
      <c r="B351"/>
      <c r="C351"/>
      <c r="G351" s="2" t="s">
        <v>93</v>
      </c>
      <c r="H351" s="2">
        <v>5</v>
      </c>
    </row>
    <row r="352" spans="1:8" x14ac:dyDescent="0.3">
      <c r="A352"/>
      <c r="B352"/>
      <c r="C352"/>
      <c r="G352" s="2" t="s">
        <v>45</v>
      </c>
      <c r="H352" s="2">
        <v>5</v>
      </c>
    </row>
    <row r="353" spans="1:8" x14ac:dyDescent="0.3">
      <c r="A353"/>
      <c r="B353"/>
      <c r="C353"/>
      <c r="G353" s="2" t="s">
        <v>32</v>
      </c>
      <c r="H353" s="2">
        <v>226</v>
      </c>
    </row>
    <row r="354" spans="1:8" x14ac:dyDescent="0.3">
      <c r="A354"/>
      <c r="B354"/>
      <c r="C354"/>
      <c r="G354"/>
      <c r="H354"/>
    </row>
    <row r="355" spans="1:8" x14ac:dyDescent="0.3">
      <c r="A355"/>
      <c r="B355"/>
      <c r="C355"/>
      <c r="G355"/>
      <c r="H355"/>
    </row>
    <row r="356" spans="1:8" x14ac:dyDescent="0.3">
      <c r="A356"/>
      <c r="B356"/>
      <c r="C356"/>
      <c r="G356"/>
      <c r="H356"/>
    </row>
    <row r="357" spans="1:8" x14ac:dyDescent="0.3">
      <c r="A357"/>
      <c r="B357"/>
      <c r="C357"/>
      <c r="G357"/>
      <c r="H357"/>
    </row>
    <row r="358" spans="1:8" x14ac:dyDescent="0.3">
      <c r="A358"/>
      <c r="B358"/>
      <c r="C358"/>
      <c r="G358"/>
      <c r="H358"/>
    </row>
    <row r="359" spans="1:8" x14ac:dyDescent="0.3">
      <c r="A359"/>
      <c r="B359"/>
      <c r="C359"/>
      <c r="G359"/>
      <c r="H359"/>
    </row>
    <row r="360" spans="1:8" x14ac:dyDescent="0.3">
      <c r="A360"/>
      <c r="B360"/>
      <c r="C360"/>
      <c r="G360"/>
      <c r="H360"/>
    </row>
    <row r="361" spans="1:8" x14ac:dyDescent="0.3">
      <c r="A361"/>
      <c r="B361"/>
      <c r="C361"/>
      <c r="G361"/>
      <c r="H361"/>
    </row>
    <row r="362" spans="1:8" x14ac:dyDescent="0.3">
      <c r="A362"/>
      <c r="B362"/>
      <c r="C362"/>
      <c r="G362"/>
      <c r="H362"/>
    </row>
    <row r="363" spans="1:8" x14ac:dyDescent="0.3">
      <c r="A363"/>
      <c r="B363"/>
      <c r="C363"/>
      <c r="G363"/>
      <c r="H363"/>
    </row>
    <row r="364" spans="1:8" x14ac:dyDescent="0.3">
      <c r="A364"/>
      <c r="B364"/>
      <c r="C364"/>
      <c r="G364"/>
      <c r="H364"/>
    </row>
    <row r="365" spans="1:8" x14ac:dyDescent="0.3">
      <c r="A365"/>
      <c r="B365"/>
      <c r="C365"/>
      <c r="G365"/>
      <c r="H365"/>
    </row>
    <row r="366" spans="1:8" x14ac:dyDescent="0.3">
      <c r="A366"/>
      <c r="B366"/>
      <c r="C366"/>
      <c r="G366"/>
      <c r="H366"/>
    </row>
    <row r="367" spans="1:8" x14ac:dyDescent="0.3">
      <c r="A367"/>
      <c r="B367"/>
      <c r="C367"/>
      <c r="G367"/>
      <c r="H367"/>
    </row>
    <row r="368" spans="1:8" x14ac:dyDescent="0.3">
      <c r="A368"/>
      <c r="B368"/>
      <c r="C368"/>
      <c r="G368"/>
      <c r="H368"/>
    </row>
    <row r="369" spans="1:8" x14ac:dyDescent="0.3">
      <c r="A369"/>
      <c r="B369"/>
      <c r="C369"/>
      <c r="G369"/>
      <c r="H369"/>
    </row>
    <row r="370" spans="1:8" x14ac:dyDescent="0.3">
      <c r="A370"/>
      <c r="B370"/>
      <c r="C370"/>
      <c r="G370"/>
      <c r="H370"/>
    </row>
    <row r="371" spans="1:8" x14ac:dyDescent="0.3">
      <c r="A371"/>
      <c r="B371"/>
      <c r="C371"/>
      <c r="G371"/>
      <c r="H371"/>
    </row>
    <row r="372" spans="1:8" x14ac:dyDescent="0.3">
      <c r="A372"/>
      <c r="B372"/>
      <c r="C372"/>
      <c r="G372"/>
      <c r="H372"/>
    </row>
    <row r="373" spans="1:8" x14ac:dyDescent="0.3">
      <c r="A373"/>
      <c r="B373"/>
      <c r="C373"/>
      <c r="G373"/>
      <c r="H373"/>
    </row>
    <row r="374" spans="1:8" x14ac:dyDescent="0.3">
      <c r="A374"/>
      <c r="B374"/>
      <c r="C374"/>
      <c r="G374"/>
      <c r="H374"/>
    </row>
    <row r="375" spans="1:8" x14ac:dyDescent="0.3">
      <c r="A375"/>
      <c r="B375"/>
      <c r="C375"/>
      <c r="G375"/>
      <c r="H375"/>
    </row>
    <row r="376" spans="1:8" x14ac:dyDescent="0.3">
      <c r="A376"/>
      <c r="B376"/>
      <c r="C376"/>
      <c r="G376"/>
      <c r="H376"/>
    </row>
    <row r="377" spans="1:8" x14ac:dyDescent="0.3">
      <c r="A377"/>
      <c r="B377"/>
      <c r="C377"/>
      <c r="G377"/>
      <c r="H377"/>
    </row>
    <row r="378" spans="1:8" x14ac:dyDescent="0.3">
      <c r="A378"/>
      <c r="B378"/>
      <c r="C378"/>
      <c r="G378"/>
      <c r="H378"/>
    </row>
    <row r="379" spans="1:8" x14ac:dyDescent="0.3">
      <c r="A379"/>
      <c r="B379"/>
      <c r="C379"/>
      <c r="G379"/>
      <c r="H379"/>
    </row>
    <row r="380" spans="1:8" x14ac:dyDescent="0.3">
      <c r="A380"/>
      <c r="B380"/>
      <c r="C380"/>
      <c r="G380"/>
      <c r="H380"/>
    </row>
    <row r="381" spans="1:8" x14ac:dyDescent="0.3">
      <c r="A381"/>
      <c r="B381"/>
      <c r="C381"/>
      <c r="G381"/>
      <c r="H381"/>
    </row>
    <row r="382" spans="1:8" x14ac:dyDescent="0.3">
      <c r="A382"/>
      <c r="B382"/>
      <c r="C382"/>
      <c r="G382"/>
      <c r="H382"/>
    </row>
    <row r="383" spans="1:8" x14ac:dyDescent="0.3">
      <c r="A383"/>
      <c r="B383"/>
      <c r="C383"/>
      <c r="G383"/>
      <c r="H383"/>
    </row>
    <row r="384" spans="1:8" x14ac:dyDescent="0.3">
      <c r="A384"/>
      <c r="B384"/>
      <c r="C384"/>
      <c r="G384"/>
      <c r="H384"/>
    </row>
    <row r="385" spans="1:8" x14ac:dyDescent="0.3">
      <c r="A385"/>
      <c r="B385"/>
      <c r="C385"/>
      <c r="G385"/>
      <c r="H385"/>
    </row>
    <row r="386" spans="1:8" x14ac:dyDescent="0.3">
      <c r="A386"/>
      <c r="B386"/>
      <c r="C386"/>
      <c r="G386"/>
      <c r="H386"/>
    </row>
    <row r="387" spans="1:8" x14ac:dyDescent="0.3">
      <c r="A387"/>
      <c r="B387"/>
      <c r="C387"/>
      <c r="G387"/>
      <c r="H387"/>
    </row>
    <row r="388" spans="1:8" x14ac:dyDescent="0.3">
      <c r="A388"/>
      <c r="B388"/>
      <c r="C388"/>
      <c r="G388"/>
      <c r="H388"/>
    </row>
    <row r="389" spans="1:8" x14ac:dyDescent="0.3">
      <c r="A389"/>
      <c r="B389"/>
      <c r="C389"/>
      <c r="G389"/>
      <c r="H389"/>
    </row>
    <row r="390" spans="1:8" x14ac:dyDescent="0.3">
      <c r="A390"/>
      <c r="B390"/>
      <c r="C390"/>
      <c r="G390"/>
      <c r="H390"/>
    </row>
    <row r="391" spans="1:8" x14ac:dyDescent="0.3">
      <c r="G391"/>
      <c r="H391"/>
    </row>
    <row r="392" spans="1:8" x14ac:dyDescent="0.3">
      <c r="G392"/>
      <c r="H392"/>
    </row>
    <row r="393" spans="1:8" x14ac:dyDescent="0.3">
      <c r="G393"/>
      <c r="H393"/>
    </row>
    <row r="394" spans="1:8" x14ac:dyDescent="0.3">
      <c r="G394"/>
      <c r="H394"/>
    </row>
    <row r="395" spans="1:8" x14ac:dyDescent="0.3">
      <c r="G395"/>
      <c r="H395"/>
    </row>
    <row r="396" spans="1:8" x14ac:dyDescent="0.3">
      <c r="G396"/>
      <c r="H396"/>
    </row>
    <row r="397" spans="1:8" x14ac:dyDescent="0.3">
      <c r="G397"/>
      <c r="H397"/>
    </row>
    <row r="398" spans="1:8" x14ac:dyDescent="0.3">
      <c r="G398"/>
      <c r="H398"/>
    </row>
    <row r="399" spans="1:8" x14ac:dyDescent="0.3">
      <c r="G399"/>
      <c r="H399"/>
    </row>
    <row r="400" spans="1:8" x14ac:dyDescent="0.3">
      <c r="G400"/>
      <c r="H400"/>
    </row>
    <row r="401" spans="7:8" x14ac:dyDescent="0.3">
      <c r="G401"/>
      <c r="H401"/>
    </row>
    <row r="402" spans="7:8" x14ac:dyDescent="0.3">
      <c r="G402"/>
      <c r="H402"/>
    </row>
    <row r="403" spans="7:8" x14ac:dyDescent="0.3">
      <c r="G403"/>
      <c r="H403"/>
    </row>
    <row r="404" spans="7:8" x14ac:dyDescent="0.3">
      <c r="G404"/>
      <c r="H404"/>
    </row>
    <row r="405" spans="7:8" x14ac:dyDescent="0.3">
      <c r="G405"/>
      <c r="H405"/>
    </row>
    <row r="406" spans="7:8" x14ac:dyDescent="0.3">
      <c r="G406"/>
      <c r="H406"/>
    </row>
    <row r="407" spans="7:8" x14ac:dyDescent="0.3">
      <c r="G407"/>
      <c r="H407"/>
    </row>
    <row r="408" spans="7:8" x14ac:dyDescent="0.3">
      <c r="G408"/>
      <c r="H408"/>
    </row>
    <row r="409" spans="7:8" x14ac:dyDescent="0.3">
      <c r="G409"/>
      <c r="H409"/>
    </row>
    <row r="410" spans="7:8" x14ac:dyDescent="0.3">
      <c r="G410"/>
      <c r="H410"/>
    </row>
    <row r="411" spans="7:8" x14ac:dyDescent="0.3">
      <c r="G411"/>
      <c r="H411"/>
    </row>
  </sheetData>
  <phoneticPr fontId="6" type="noConversion"/>
  <pageMargins left="0.7" right="0.7" top="0.75" bottom="0.75" header="0.3" footer="0.3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15D2-A989-4DA1-BB95-BFA6F6506043}">
  <sheetPr>
    <tabColor rgb="FFFF0000"/>
  </sheetPr>
  <dimension ref="A1:Q677"/>
  <sheetViews>
    <sheetView tabSelected="1" zoomScale="66" zoomScaleNormal="100" workbookViewId="0">
      <pane ySplit="1" topLeftCell="A4" activePane="bottomLeft" state="frozen"/>
      <selection pane="bottomLeft"/>
    </sheetView>
  </sheetViews>
  <sheetFormatPr defaultColWidth="9.109375" defaultRowHeight="14.4" x14ac:dyDescent="0.3"/>
  <cols>
    <col min="1" max="2" width="20" customWidth="1"/>
    <col min="3" max="3" width="12.109375" style="1" customWidth="1"/>
    <col min="4" max="4" width="28" style="2" bestFit="1" customWidth="1"/>
    <col min="5" max="5" width="25.33203125" style="1" customWidth="1"/>
    <col min="6" max="6" width="19.6640625" style="2" customWidth="1"/>
    <col min="7" max="7" width="16.109375" style="2" customWidth="1"/>
    <col min="8" max="8" width="53.88671875" bestFit="1" customWidth="1"/>
    <col min="9" max="9" width="35.6640625" style="2" customWidth="1"/>
    <col min="10" max="10" width="35" style="1" bestFit="1" customWidth="1"/>
    <col min="11" max="11" width="35" style="1" customWidth="1"/>
    <col min="12" max="12" width="36.109375" style="1" customWidth="1"/>
    <col min="13" max="13" width="41.109375" bestFit="1" customWidth="1"/>
    <col min="14" max="14" width="41.5546875" style="1" customWidth="1"/>
    <col min="15" max="15" width="44.88671875" style="23" customWidth="1"/>
    <col min="16" max="16" width="31.109375" style="3" customWidth="1"/>
  </cols>
  <sheetData>
    <row r="1" spans="1:17" ht="52.2" thickBot="1" x14ac:dyDescent="0.35">
      <c r="A1" s="30" t="s">
        <v>23</v>
      </c>
      <c r="B1" s="30" t="s">
        <v>373</v>
      </c>
      <c r="C1" s="21" t="s">
        <v>0</v>
      </c>
      <c r="D1" s="21" t="s">
        <v>178</v>
      </c>
      <c r="E1" s="21" t="s">
        <v>142</v>
      </c>
      <c r="F1" s="21" t="s">
        <v>1</v>
      </c>
      <c r="G1" s="21" t="s">
        <v>2</v>
      </c>
      <c r="H1" s="21" t="s">
        <v>3</v>
      </c>
      <c r="I1" s="21" t="s">
        <v>4</v>
      </c>
      <c r="J1" s="21" t="s">
        <v>22</v>
      </c>
      <c r="K1" s="21" t="s">
        <v>292</v>
      </c>
      <c r="L1" s="21" t="s">
        <v>6</v>
      </c>
      <c r="M1" s="21" t="s">
        <v>5</v>
      </c>
      <c r="N1" s="21" t="s">
        <v>63</v>
      </c>
      <c r="O1" s="21" t="s">
        <v>177</v>
      </c>
      <c r="P1" s="21" t="s">
        <v>7</v>
      </c>
    </row>
    <row r="2" spans="1:17" ht="21" x14ac:dyDescent="0.3">
      <c r="A2" s="28">
        <f>WEEKNUM(Table1[[#This Row],[Date]])</f>
        <v>2</v>
      </c>
      <c r="B2" s="35" t="s">
        <v>24</v>
      </c>
      <c r="C2" s="31">
        <v>46027</v>
      </c>
      <c r="D2" s="26" t="s">
        <v>11</v>
      </c>
      <c r="E2" s="22" t="s">
        <v>25</v>
      </c>
      <c r="F2" s="28" t="s">
        <v>64</v>
      </c>
      <c r="G2" s="28" t="s">
        <v>27</v>
      </c>
      <c r="H2" s="24">
        <v>3</v>
      </c>
      <c r="I2" s="24">
        <v>0</v>
      </c>
      <c r="J2" s="28"/>
      <c r="K2" s="28" t="s">
        <v>934</v>
      </c>
      <c r="L2" s="28" t="s">
        <v>934</v>
      </c>
      <c r="M2" s="28"/>
      <c r="N2" s="28" t="s">
        <v>934</v>
      </c>
      <c r="O2" s="22"/>
      <c r="P2" s="29" t="s">
        <v>171</v>
      </c>
      <c r="Q2" s="4"/>
    </row>
    <row r="3" spans="1:17" ht="21" x14ac:dyDescent="0.3">
      <c r="A3" s="28">
        <f>WEEKNUM(Table1[[#This Row],[Date]])</f>
        <v>2</v>
      </c>
      <c r="B3" s="35" t="s">
        <v>24</v>
      </c>
      <c r="C3" s="31">
        <v>46027</v>
      </c>
      <c r="D3" s="26" t="s">
        <v>11</v>
      </c>
      <c r="E3" s="22" t="s">
        <v>25</v>
      </c>
      <c r="F3" s="28" t="s">
        <v>65</v>
      </c>
      <c r="G3" s="28" t="s">
        <v>27</v>
      </c>
      <c r="H3" s="24">
        <v>3</v>
      </c>
      <c r="I3" s="24">
        <v>0</v>
      </c>
      <c r="J3" s="28"/>
      <c r="K3" s="28" t="s">
        <v>934</v>
      </c>
      <c r="L3" s="28" t="s">
        <v>934</v>
      </c>
      <c r="M3" s="28"/>
      <c r="N3" s="28" t="s">
        <v>934</v>
      </c>
      <c r="O3" s="22"/>
      <c r="P3" s="29" t="s">
        <v>171</v>
      </c>
      <c r="Q3" s="5"/>
    </row>
    <row r="4" spans="1:17" ht="21" x14ac:dyDescent="0.3">
      <c r="A4" s="28">
        <f>WEEKNUM(Table1[[#This Row],[Date]])</f>
        <v>2</v>
      </c>
      <c r="B4" s="35" t="s">
        <v>24</v>
      </c>
      <c r="C4" s="31">
        <v>46027</v>
      </c>
      <c r="D4" s="26" t="s">
        <v>11</v>
      </c>
      <c r="E4" s="22" t="s">
        <v>25</v>
      </c>
      <c r="F4" s="28" t="s">
        <v>66</v>
      </c>
      <c r="G4" s="28" t="s">
        <v>27</v>
      </c>
      <c r="H4" s="24">
        <v>3</v>
      </c>
      <c r="I4" s="24">
        <v>0</v>
      </c>
      <c r="J4" s="28"/>
      <c r="K4" s="28" t="s">
        <v>934</v>
      </c>
      <c r="L4" s="28" t="s">
        <v>934</v>
      </c>
      <c r="M4" s="28"/>
      <c r="N4" s="28" t="s">
        <v>934</v>
      </c>
      <c r="O4" s="22"/>
      <c r="P4" s="29" t="s">
        <v>171</v>
      </c>
      <c r="Q4" s="5"/>
    </row>
    <row r="5" spans="1:17" ht="30" customHeight="1" x14ac:dyDescent="0.3">
      <c r="A5" s="28">
        <f>WEEKNUM(Table1[[#This Row],[Date]])</f>
        <v>2</v>
      </c>
      <c r="B5" s="35" t="s">
        <v>24</v>
      </c>
      <c r="C5" s="31">
        <v>46027</v>
      </c>
      <c r="D5" s="26" t="s">
        <v>11</v>
      </c>
      <c r="E5" s="22" t="s">
        <v>25</v>
      </c>
      <c r="F5" s="28" t="s">
        <v>67</v>
      </c>
      <c r="G5" s="28" t="s">
        <v>27</v>
      </c>
      <c r="H5" s="24">
        <v>2</v>
      </c>
      <c r="I5" s="24">
        <v>1</v>
      </c>
      <c r="J5" s="28" t="s">
        <v>168</v>
      </c>
      <c r="K5" s="28" t="s">
        <v>349</v>
      </c>
      <c r="L5" s="28" t="s">
        <v>13</v>
      </c>
      <c r="M5" s="28"/>
      <c r="N5" s="22" t="s">
        <v>166</v>
      </c>
      <c r="O5" s="22" t="s">
        <v>233</v>
      </c>
      <c r="P5" s="29" t="s">
        <v>11</v>
      </c>
      <c r="Q5" s="5"/>
    </row>
    <row r="6" spans="1:17" ht="21" x14ac:dyDescent="0.3">
      <c r="A6" s="28">
        <f>WEEKNUM(Table1[[#This Row],[Date]])</f>
        <v>2</v>
      </c>
      <c r="B6" s="35" t="s">
        <v>24</v>
      </c>
      <c r="C6" s="31">
        <v>46027</v>
      </c>
      <c r="D6" s="26" t="s">
        <v>11</v>
      </c>
      <c r="E6" s="22" t="s">
        <v>25</v>
      </c>
      <c r="F6" s="28" t="s">
        <v>68</v>
      </c>
      <c r="G6" s="28" t="s">
        <v>27</v>
      </c>
      <c r="H6" s="24">
        <v>6</v>
      </c>
      <c r="I6" s="24">
        <v>0</v>
      </c>
      <c r="J6" s="28"/>
      <c r="K6" s="28" t="s">
        <v>934</v>
      </c>
      <c r="L6" s="28" t="s">
        <v>934</v>
      </c>
      <c r="M6" s="28"/>
      <c r="N6" s="28" t="s">
        <v>934</v>
      </c>
      <c r="O6" s="22"/>
      <c r="P6" s="29" t="s">
        <v>171</v>
      </c>
      <c r="Q6" s="5"/>
    </row>
    <row r="7" spans="1:17" ht="21" x14ac:dyDescent="0.3">
      <c r="A7" s="28">
        <f>WEEKNUM(Table1[[#This Row],[Date]])</f>
        <v>2</v>
      </c>
      <c r="B7" s="35" t="s">
        <v>24</v>
      </c>
      <c r="C7" s="31">
        <v>46027</v>
      </c>
      <c r="D7" s="26" t="s">
        <v>11</v>
      </c>
      <c r="E7" s="22" t="s">
        <v>25</v>
      </c>
      <c r="F7" s="28" t="s">
        <v>69</v>
      </c>
      <c r="G7" s="28" t="s">
        <v>27</v>
      </c>
      <c r="H7" s="24">
        <v>3</v>
      </c>
      <c r="I7" s="24">
        <v>0</v>
      </c>
      <c r="J7" s="28"/>
      <c r="K7" s="28" t="s">
        <v>934</v>
      </c>
      <c r="L7" s="28" t="s">
        <v>934</v>
      </c>
      <c r="M7" s="28"/>
      <c r="N7" s="28" t="s">
        <v>934</v>
      </c>
      <c r="O7" s="22"/>
      <c r="P7" s="29" t="s">
        <v>171</v>
      </c>
      <c r="Q7" s="5"/>
    </row>
    <row r="8" spans="1:17" ht="21" x14ac:dyDescent="0.3">
      <c r="A8" s="28">
        <f>WEEKNUM(Table1[[#This Row],[Date]])</f>
        <v>2</v>
      </c>
      <c r="B8" s="35" t="s">
        <v>24</v>
      </c>
      <c r="C8" s="31">
        <v>46027</v>
      </c>
      <c r="D8" s="26" t="s">
        <v>11</v>
      </c>
      <c r="E8" s="22" t="s">
        <v>25</v>
      </c>
      <c r="F8" s="28" t="s">
        <v>70</v>
      </c>
      <c r="G8" s="28" t="s">
        <v>27</v>
      </c>
      <c r="H8" s="24">
        <v>6</v>
      </c>
      <c r="I8" s="24">
        <v>0</v>
      </c>
      <c r="J8" s="28"/>
      <c r="K8" s="28" t="s">
        <v>934</v>
      </c>
      <c r="L8" s="28" t="s">
        <v>934</v>
      </c>
      <c r="M8" s="28"/>
      <c r="N8" s="28" t="s">
        <v>934</v>
      </c>
      <c r="O8" s="22"/>
      <c r="P8" s="29" t="s">
        <v>171</v>
      </c>
      <c r="Q8" s="5"/>
    </row>
    <row r="9" spans="1:17" ht="21" x14ac:dyDescent="0.3">
      <c r="A9" s="28">
        <f>WEEKNUM(Table1[[#This Row],[Date]])</f>
        <v>2</v>
      </c>
      <c r="B9" s="35" t="s">
        <v>24</v>
      </c>
      <c r="C9" s="31">
        <v>46027</v>
      </c>
      <c r="D9" s="26" t="s">
        <v>11</v>
      </c>
      <c r="E9" s="22" t="s">
        <v>25</v>
      </c>
      <c r="F9" s="28" t="s">
        <v>71</v>
      </c>
      <c r="G9" s="28" t="s">
        <v>27</v>
      </c>
      <c r="H9" s="24">
        <v>6</v>
      </c>
      <c r="I9" s="24">
        <v>0</v>
      </c>
      <c r="J9" s="28"/>
      <c r="K9" s="28" t="s">
        <v>934</v>
      </c>
      <c r="L9" s="28" t="s">
        <v>934</v>
      </c>
      <c r="M9" s="28"/>
      <c r="N9" s="28" t="s">
        <v>934</v>
      </c>
      <c r="O9" s="22"/>
      <c r="P9" s="29" t="s">
        <v>171</v>
      </c>
      <c r="Q9" s="5"/>
    </row>
    <row r="10" spans="1:17" ht="21" x14ac:dyDescent="0.3">
      <c r="A10" s="28">
        <f>WEEKNUM(Table1[[#This Row],[Date]])</f>
        <v>2</v>
      </c>
      <c r="B10" s="35" t="s">
        <v>24</v>
      </c>
      <c r="C10" s="31">
        <v>46027</v>
      </c>
      <c r="D10" s="26" t="s">
        <v>11</v>
      </c>
      <c r="E10" s="22" t="s">
        <v>25</v>
      </c>
      <c r="F10" s="28" t="s">
        <v>72</v>
      </c>
      <c r="G10" s="28" t="s">
        <v>8</v>
      </c>
      <c r="H10" s="24">
        <v>4</v>
      </c>
      <c r="I10" s="24">
        <v>0</v>
      </c>
      <c r="J10" s="28"/>
      <c r="K10" s="28" t="s">
        <v>934</v>
      </c>
      <c r="L10" s="28" t="s">
        <v>934</v>
      </c>
      <c r="M10" s="28"/>
      <c r="N10" s="28" t="s">
        <v>934</v>
      </c>
      <c r="O10" s="22"/>
      <c r="P10" s="29" t="s">
        <v>171</v>
      </c>
      <c r="Q10" s="5"/>
    </row>
    <row r="11" spans="1:17" ht="21" x14ac:dyDescent="0.3">
      <c r="A11" s="28">
        <f>WEEKNUM(Table1[[#This Row],[Date]])</f>
        <v>2</v>
      </c>
      <c r="B11" s="35" t="s">
        <v>24</v>
      </c>
      <c r="C11" s="31">
        <v>46027</v>
      </c>
      <c r="D11" s="26" t="s">
        <v>11</v>
      </c>
      <c r="E11" s="22" t="s">
        <v>25</v>
      </c>
      <c r="F11" s="28" t="s">
        <v>73</v>
      </c>
      <c r="G11" s="28" t="s">
        <v>8</v>
      </c>
      <c r="H11" s="24">
        <v>5</v>
      </c>
      <c r="I11" s="24">
        <v>0</v>
      </c>
      <c r="J11" s="28"/>
      <c r="K11" s="28" t="s">
        <v>934</v>
      </c>
      <c r="L11" s="28" t="s">
        <v>934</v>
      </c>
      <c r="M11" s="28"/>
      <c r="N11" s="28" t="s">
        <v>934</v>
      </c>
      <c r="O11" s="22"/>
      <c r="P11" s="29" t="s">
        <v>171</v>
      </c>
      <c r="Q11" s="5"/>
    </row>
    <row r="12" spans="1:17" ht="21" x14ac:dyDescent="0.3">
      <c r="A12" s="28">
        <f>WEEKNUM(Table1[[#This Row],[Date]])</f>
        <v>2</v>
      </c>
      <c r="B12" s="35" t="s">
        <v>24</v>
      </c>
      <c r="C12" s="31">
        <v>46027</v>
      </c>
      <c r="D12" s="26" t="s">
        <v>11</v>
      </c>
      <c r="E12" s="22" t="s">
        <v>25</v>
      </c>
      <c r="F12" s="28" t="s">
        <v>74</v>
      </c>
      <c r="G12" s="28" t="s">
        <v>27</v>
      </c>
      <c r="H12" s="24">
        <v>3</v>
      </c>
      <c r="I12" s="24">
        <v>0</v>
      </c>
      <c r="J12" s="28"/>
      <c r="K12" s="28" t="s">
        <v>934</v>
      </c>
      <c r="L12" s="28" t="s">
        <v>934</v>
      </c>
      <c r="M12" s="28"/>
      <c r="N12" s="28" t="s">
        <v>934</v>
      </c>
      <c r="O12" s="22"/>
      <c r="P12" s="29" t="s">
        <v>171</v>
      </c>
      <c r="Q12" s="5"/>
    </row>
    <row r="13" spans="1:17" ht="21" x14ac:dyDescent="0.3">
      <c r="A13" s="28">
        <f>WEEKNUM(Table1[[#This Row],[Date]])</f>
        <v>2</v>
      </c>
      <c r="B13" s="35" t="s">
        <v>24</v>
      </c>
      <c r="C13" s="31">
        <v>46027</v>
      </c>
      <c r="D13" s="26" t="s">
        <v>11</v>
      </c>
      <c r="E13" s="22" t="s">
        <v>25</v>
      </c>
      <c r="F13" s="28" t="s">
        <v>75</v>
      </c>
      <c r="G13" s="28" t="s">
        <v>27</v>
      </c>
      <c r="H13" s="24">
        <v>16</v>
      </c>
      <c r="I13" s="24">
        <v>0</v>
      </c>
      <c r="J13" s="28"/>
      <c r="K13" s="28" t="s">
        <v>934</v>
      </c>
      <c r="L13" s="28" t="s">
        <v>934</v>
      </c>
      <c r="M13" s="28"/>
      <c r="N13" s="28" t="s">
        <v>934</v>
      </c>
      <c r="O13" s="22"/>
      <c r="P13" s="29" t="s">
        <v>171</v>
      </c>
      <c r="Q13" s="5"/>
    </row>
    <row r="14" spans="1:17" ht="21" x14ac:dyDescent="0.3">
      <c r="A14" s="28">
        <f>WEEKNUM(Table1[[#This Row],[Date]])</f>
        <v>2</v>
      </c>
      <c r="B14" s="35" t="s">
        <v>24</v>
      </c>
      <c r="C14" s="31">
        <v>46027</v>
      </c>
      <c r="D14" s="26" t="s">
        <v>11</v>
      </c>
      <c r="E14" s="22" t="s">
        <v>25</v>
      </c>
      <c r="F14" s="28" t="s">
        <v>76</v>
      </c>
      <c r="G14" s="28" t="s">
        <v>27</v>
      </c>
      <c r="H14" s="24">
        <v>16</v>
      </c>
      <c r="I14" s="24">
        <v>0</v>
      </c>
      <c r="J14" s="28"/>
      <c r="K14" s="28" t="s">
        <v>934</v>
      </c>
      <c r="L14" s="28" t="s">
        <v>934</v>
      </c>
      <c r="M14" s="28"/>
      <c r="N14" s="28" t="s">
        <v>934</v>
      </c>
      <c r="O14" s="22"/>
      <c r="P14" s="29" t="s">
        <v>171</v>
      </c>
      <c r="Q14" s="5"/>
    </row>
    <row r="15" spans="1:17" ht="21" x14ac:dyDescent="0.3">
      <c r="A15" s="28">
        <f>WEEKNUM(Table1[[#This Row],[Date]])</f>
        <v>2</v>
      </c>
      <c r="B15" s="35" t="s">
        <v>24</v>
      </c>
      <c r="C15" s="31">
        <v>46027</v>
      </c>
      <c r="D15" s="26" t="s">
        <v>11</v>
      </c>
      <c r="E15" s="22" t="s">
        <v>25</v>
      </c>
      <c r="F15" s="28" t="s">
        <v>77</v>
      </c>
      <c r="G15" s="28" t="s">
        <v>8</v>
      </c>
      <c r="H15" s="24">
        <v>4</v>
      </c>
      <c r="I15" s="24">
        <v>0</v>
      </c>
      <c r="J15" s="28"/>
      <c r="K15" s="28" t="s">
        <v>934</v>
      </c>
      <c r="L15" s="28" t="s">
        <v>934</v>
      </c>
      <c r="M15" s="28"/>
      <c r="N15" s="28" t="s">
        <v>934</v>
      </c>
      <c r="O15" s="22"/>
      <c r="P15" s="29" t="s">
        <v>171</v>
      </c>
      <c r="Q15" s="5"/>
    </row>
    <row r="16" spans="1:17" ht="21" x14ac:dyDescent="0.3">
      <c r="A16" s="28">
        <f>WEEKNUM(Table1[[#This Row],[Date]])</f>
        <v>2</v>
      </c>
      <c r="B16" s="35" t="s">
        <v>24</v>
      </c>
      <c r="C16" s="31">
        <v>46027</v>
      </c>
      <c r="D16" s="26" t="s">
        <v>11</v>
      </c>
      <c r="E16" s="22" t="s">
        <v>25</v>
      </c>
      <c r="F16" s="28" t="s">
        <v>78</v>
      </c>
      <c r="G16" s="28" t="s">
        <v>27</v>
      </c>
      <c r="H16" s="24">
        <v>7</v>
      </c>
      <c r="I16" s="24">
        <v>0</v>
      </c>
      <c r="J16" s="28"/>
      <c r="K16" s="28" t="s">
        <v>934</v>
      </c>
      <c r="L16" s="28" t="s">
        <v>934</v>
      </c>
      <c r="M16" s="28"/>
      <c r="N16" s="28" t="s">
        <v>934</v>
      </c>
      <c r="O16" s="22"/>
      <c r="P16" s="29" t="s">
        <v>171</v>
      </c>
      <c r="Q16" s="5"/>
    </row>
    <row r="17" spans="1:17" ht="21" x14ac:dyDescent="0.3">
      <c r="A17" s="28">
        <f>WEEKNUM(Table1[[#This Row],[Date]])</f>
        <v>2</v>
      </c>
      <c r="B17" s="35" t="s">
        <v>24</v>
      </c>
      <c r="C17" s="31">
        <v>46027</v>
      </c>
      <c r="D17" s="26" t="s">
        <v>11</v>
      </c>
      <c r="E17" s="22" t="s">
        <v>18</v>
      </c>
      <c r="F17" s="28" t="s">
        <v>79</v>
      </c>
      <c r="G17" s="28" t="s">
        <v>27</v>
      </c>
      <c r="H17" s="24">
        <v>3</v>
      </c>
      <c r="I17" s="24">
        <v>0</v>
      </c>
      <c r="J17" s="28"/>
      <c r="K17" s="28" t="s">
        <v>934</v>
      </c>
      <c r="L17" s="28" t="s">
        <v>934</v>
      </c>
      <c r="M17" s="28"/>
      <c r="N17" s="28" t="s">
        <v>934</v>
      </c>
      <c r="O17" s="22"/>
      <c r="P17" s="29" t="s">
        <v>171</v>
      </c>
      <c r="Q17" s="5"/>
    </row>
    <row r="18" spans="1:17" ht="21" x14ac:dyDescent="0.3">
      <c r="A18" s="28">
        <f>WEEKNUM(Table1[[#This Row],[Date]])</f>
        <v>2</v>
      </c>
      <c r="B18" s="35" t="s">
        <v>24</v>
      </c>
      <c r="C18" s="31">
        <v>46027</v>
      </c>
      <c r="D18" s="26" t="s">
        <v>11</v>
      </c>
      <c r="E18" s="22" t="s">
        <v>18</v>
      </c>
      <c r="F18" s="28" t="s">
        <v>80</v>
      </c>
      <c r="G18" s="28" t="s">
        <v>27</v>
      </c>
      <c r="H18" s="24">
        <v>7</v>
      </c>
      <c r="I18" s="24">
        <v>0</v>
      </c>
      <c r="J18" s="28"/>
      <c r="K18" s="28" t="s">
        <v>934</v>
      </c>
      <c r="L18" s="28" t="s">
        <v>934</v>
      </c>
      <c r="M18" s="28"/>
      <c r="N18" s="28" t="s">
        <v>934</v>
      </c>
      <c r="O18" s="22"/>
      <c r="P18" s="29" t="s">
        <v>171</v>
      </c>
      <c r="Q18" s="5"/>
    </row>
    <row r="19" spans="1:17" ht="21" x14ac:dyDescent="0.3">
      <c r="A19" s="28">
        <f>WEEKNUM(Table1[[#This Row],[Date]])</f>
        <v>2</v>
      </c>
      <c r="B19" s="35" t="s">
        <v>24</v>
      </c>
      <c r="C19" s="31">
        <v>46027</v>
      </c>
      <c r="D19" s="26" t="s">
        <v>11</v>
      </c>
      <c r="E19" s="22" t="s">
        <v>18</v>
      </c>
      <c r="F19" s="28" t="s">
        <v>81</v>
      </c>
      <c r="G19" s="28" t="s">
        <v>27</v>
      </c>
      <c r="H19" s="24">
        <v>12</v>
      </c>
      <c r="I19" s="24">
        <v>1</v>
      </c>
      <c r="J19" s="28"/>
      <c r="K19" s="28" t="s">
        <v>61</v>
      </c>
      <c r="L19" s="28" t="s">
        <v>39</v>
      </c>
      <c r="M19" s="28"/>
      <c r="N19" s="22" t="s">
        <v>166</v>
      </c>
      <c r="O19" s="22" t="s">
        <v>234</v>
      </c>
      <c r="P19" s="29" t="s">
        <v>16</v>
      </c>
      <c r="Q19" s="5"/>
    </row>
    <row r="20" spans="1:17" ht="21" x14ac:dyDescent="0.3">
      <c r="A20" s="28">
        <f>WEEKNUM(Table1[[#This Row],[Date]])</f>
        <v>2</v>
      </c>
      <c r="B20" s="35" t="s">
        <v>24</v>
      </c>
      <c r="C20" s="31">
        <v>46027</v>
      </c>
      <c r="D20" s="26" t="s">
        <v>11</v>
      </c>
      <c r="E20" s="22" t="s">
        <v>18</v>
      </c>
      <c r="F20" s="28" t="s">
        <v>82</v>
      </c>
      <c r="G20" s="28" t="s">
        <v>8</v>
      </c>
      <c r="H20" s="24">
        <v>6</v>
      </c>
      <c r="I20" s="24">
        <v>1</v>
      </c>
      <c r="J20" s="28" t="s">
        <v>17</v>
      </c>
      <c r="K20" s="28" t="s">
        <v>353</v>
      </c>
      <c r="L20" s="28" t="s">
        <v>83</v>
      </c>
      <c r="M20" s="28">
        <v>251607</v>
      </c>
      <c r="N20" s="22" t="s">
        <v>166</v>
      </c>
      <c r="O20" s="22"/>
      <c r="P20" s="29" t="s">
        <v>14</v>
      </c>
      <c r="Q20" s="5"/>
    </row>
    <row r="21" spans="1:17" ht="21" x14ac:dyDescent="0.3">
      <c r="A21" s="28">
        <f>WEEKNUM(Table1[[#This Row],[Date]])</f>
        <v>2</v>
      </c>
      <c r="B21" s="35" t="s">
        <v>24</v>
      </c>
      <c r="C21" s="31">
        <v>46027</v>
      </c>
      <c r="D21" s="26" t="s">
        <v>11</v>
      </c>
      <c r="E21" s="22" t="s">
        <v>18</v>
      </c>
      <c r="F21" s="28" t="s">
        <v>84</v>
      </c>
      <c r="G21" s="28" t="s">
        <v>8</v>
      </c>
      <c r="H21" s="24">
        <v>6</v>
      </c>
      <c r="I21" s="24">
        <v>1</v>
      </c>
      <c r="J21" s="28" t="s">
        <v>9</v>
      </c>
      <c r="K21" s="28" t="s">
        <v>61</v>
      </c>
      <c r="L21" s="28" t="s">
        <v>13</v>
      </c>
      <c r="M21" s="28">
        <v>251608</v>
      </c>
      <c r="N21" s="22" t="s">
        <v>166</v>
      </c>
      <c r="O21" s="22" t="s">
        <v>235</v>
      </c>
      <c r="P21" s="29" t="s">
        <v>16</v>
      </c>
      <c r="Q21" s="5"/>
    </row>
    <row r="22" spans="1:17" ht="21" x14ac:dyDescent="0.3">
      <c r="A22" s="28">
        <f>WEEKNUM(Table1[[#This Row],[Date]])</f>
        <v>2</v>
      </c>
      <c r="B22" s="35" t="s">
        <v>24</v>
      </c>
      <c r="C22" s="31">
        <v>46027</v>
      </c>
      <c r="D22" s="26" t="s">
        <v>11</v>
      </c>
      <c r="E22" s="22" t="s">
        <v>18</v>
      </c>
      <c r="F22" s="28" t="s">
        <v>85</v>
      </c>
      <c r="G22" s="28" t="s">
        <v>27</v>
      </c>
      <c r="H22" s="24">
        <v>12</v>
      </c>
      <c r="I22" s="24">
        <v>1</v>
      </c>
      <c r="J22" s="28"/>
      <c r="K22" s="28" t="s">
        <v>351</v>
      </c>
      <c r="L22" s="28" t="s">
        <v>159</v>
      </c>
      <c r="M22" s="28"/>
      <c r="N22" s="22" t="s">
        <v>164</v>
      </c>
      <c r="O22" s="22" t="s">
        <v>236</v>
      </c>
      <c r="P22" s="29" t="s">
        <v>11</v>
      </c>
      <c r="Q22" s="5"/>
    </row>
    <row r="23" spans="1:17" ht="21" x14ac:dyDescent="0.3">
      <c r="A23" s="28">
        <f>WEEKNUM(Table1[[#This Row],[Date]])</f>
        <v>2</v>
      </c>
      <c r="B23" s="35" t="s">
        <v>24</v>
      </c>
      <c r="C23" s="31">
        <v>46027</v>
      </c>
      <c r="D23" s="26" t="s">
        <v>11</v>
      </c>
      <c r="E23" s="22" t="s">
        <v>18</v>
      </c>
      <c r="F23" s="28" t="s">
        <v>86</v>
      </c>
      <c r="G23" s="28" t="s">
        <v>27</v>
      </c>
      <c r="H23" s="24">
        <v>18</v>
      </c>
      <c r="I23" s="24">
        <v>1</v>
      </c>
      <c r="J23" s="28" t="s">
        <v>17</v>
      </c>
      <c r="K23" s="28" t="s">
        <v>348</v>
      </c>
      <c r="L23" s="28" t="s">
        <v>19</v>
      </c>
      <c r="M23" s="28">
        <v>251609</v>
      </c>
      <c r="N23" s="22" t="s">
        <v>164</v>
      </c>
      <c r="O23" s="28" t="s">
        <v>20</v>
      </c>
      <c r="P23" s="29" t="s">
        <v>11</v>
      </c>
      <c r="Q23" s="5"/>
    </row>
    <row r="24" spans="1:17" ht="21" x14ac:dyDescent="0.3">
      <c r="A24" s="28">
        <f>WEEKNUM(Table1[[#This Row],[Date]])</f>
        <v>2</v>
      </c>
      <c r="B24" s="35" t="s">
        <v>24</v>
      </c>
      <c r="C24" s="31">
        <v>46027</v>
      </c>
      <c r="D24" s="26" t="s">
        <v>11</v>
      </c>
      <c r="E24" s="22" t="s">
        <v>18</v>
      </c>
      <c r="F24" s="28" t="s">
        <v>60</v>
      </c>
      <c r="G24" s="28" t="s">
        <v>27</v>
      </c>
      <c r="H24" s="24">
        <v>6</v>
      </c>
      <c r="I24" s="24">
        <v>1</v>
      </c>
      <c r="J24" s="28" t="s">
        <v>87</v>
      </c>
      <c r="K24" s="28" t="s">
        <v>740</v>
      </c>
      <c r="L24" s="28" t="s">
        <v>88</v>
      </c>
      <c r="M24" s="28">
        <v>251610</v>
      </c>
      <c r="N24" s="22" t="s">
        <v>166</v>
      </c>
      <c r="O24" s="22"/>
      <c r="P24" s="29" t="s">
        <v>11</v>
      </c>
      <c r="Q24" s="5"/>
    </row>
    <row r="25" spans="1:17" ht="36" x14ac:dyDescent="0.3">
      <c r="A25" s="28">
        <f>WEEKNUM(Table1[[#This Row],[Date]])</f>
        <v>2</v>
      </c>
      <c r="B25" s="35" t="s">
        <v>24</v>
      </c>
      <c r="C25" s="31">
        <v>46027</v>
      </c>
      <c r="D25" s="26" t="s">
        <v>11</v>
      </c>
      <c r="E25" s="22" t="s">
        <v>18</v>
      </c>
      <c r="F25" s="28" t="s">
        <v>89</v>
      </c>
      <c r="G25" s="28" t="s">
        <v>27</v>
      </c>
      <c r="H25" s="24">
        <v>16</v>
      </c>
      <c r="I25" s="24">
        <v>1</v>
      </c>
      <c r="J25" s="28" t="s">
        <v>90</v>
      </c>
      <c r="K25" s="28" t="s">
        <v>347</v>
      </c>
      <c r="L25" s="28" t="s">
        <v>28</v>
      </c>
      <c r="M25" s="28">
        <v>251611</v>
      </c>
      <c r="N25" s="22" t="s">
        <v>166</v>
      </c>
      <c r="O25" s="22"/>
      <c r="P25" s="29" t="s">
        <v>11</v>
      </c>
      <c r="Q25" s="5"/>
    </row>
    <row r="26" spans="1:17" ht="21" x14ac:dyDescent="0.3">
      <c r="A26" s="28">
        <f>WEEKNUM(Table1[[#This Row],[Date]])</f>
        <v>2</v>
      </c>
      <c r="B26" s="35" t="s">
        <v>24</v>
      </c>
      <c r="C26" s="31">
        <v>46028</v>
      </c>
      <c r="D26" s="26" t="s">
        <v>11</v>
      </c>
      <c r="E26" s="22" t="s">
        <v>25</v>
      </c>
      <c r="F26" s="28" t="s">
        <v>91</v>
      </c>
      <c r="G26" s="28" t="s">
        <v>27</v>
      </c>
      <c r="H26" s="24">
        <v>5</v>
      </c>
      <c r="I26" s="24">
        <v>0</v>
      </c>
      <c r="J26" s="28"/>
      <c r="K26" s="28" t="s">
        <v>934</v>
      </c>
      <c r="L26" s="28" t="s">
        <v>934</v>
      </c>
      <c r="M26" s="28"/>
      <c r="N26" s="28" t="s">
        <v>934</v>
      </c>
      <c r="O26" s="22"/>
      <c r="P26" s="29" t="s">
        <v>171</v>
      </c>
      <c r="Q26" s="5"/>
    </row>
    <row r="27" spans="1:17" ht="21" x14ac:dyDescent="0.3">
      <c r="A27" s="28">
        <f>WEEKNUM(Table1[[#This Row],[Date]])</f>
        <v>2</v>
      </c>
      <c r="B27" s="35" t="s">
        <v>24</v>
      </c>
      <c r="C27" s="31">
        <v>46028</v>
      </c>
      <c r="D27" s="26" t="s">
        <v>11</v>
      </c>
      <c r="E27" s="22" t="s">
        <v>25</v>
      </c>
      <c r="F27" s="28" t="s">
        <v>92</v>
      </c>
      <c r="G27" s="28" t="s">
        <v>27</v>
      </c>
      <c r="H27" s="24">
        <v>120</v>
      </c>
      <c r="I27" s="24">
        <v>1</v>
      </c>
      <c r="J27" s="28" t="s">
        <v>15</v>
      </c>
      <c r="K27" s="28" t="s">
        <v>61</v>
      </c>
      <c r="L27" s="28" t="s">
        <v>93</v>
      </c>
      <c r="M27" s="28">
        <v>251612</v>
      </c>
      <c r="N27" s="22" t="s">
        <v>164</v>
      </c>
      <c r="O27" s="22" t="s">
        <v>237</v>
      </c>
      <c r="P27" s="29" t="s">
        <v>16</v>
      </c>
      <c r="Q27" s="5"/>
    </row>
    <row r="28" spans="1:17" ht="21" x14ac:dyDescent="0.3">
      <c r="A28" s="28">
        <f>WEEKNUM(Table1[[#This Row],[Date]])</f>
        <v>2</v>
      </c>
      <c r="B28" s="35" t="s">
        <v>24</v>
      </c>
      <c r="C28" s="31">
        <v>46028</v>
      </c>
      <c r="D28" s="26" t="s">
        <v>11</v>
      </c>
      <c r="E28" s="22" t="s">
        <v>25</v>
      </c>
      <c r="F28" s="28" t="s">
        <v>94</v>
      </c>
      <c r="G28" s="28" t="s">
        <v>27</v>
      </c>
      <c r="H28" s="24">
        <v>9</v>
      </c>
      <c r="I28" s="24">
        <v>0</v>
      </c>
      <c r="J28" s="28"/>
      <c r="K28" s="28" t="s">
        <v>934</v>
      </c>
      <c r="L28" s="28" t="s">
        <v>934</v>
      </c>
      <c r="M28" s="28"/>
      <c r="N28" s="28" t="s">
        <v>934</v>
      </c>
      <c r="O28" s="22"/>
      <c r="P28" s="29" t="s">
        <v>171</v>
      </c>
      <c r="Q28" s="5"/>
    </row>
    <row r="29" spans="1:17" ht="21" x14ac:dyDescent="0.3">
      <c r="A29" s="28">
        <f>WEEKNUM(Table1[[#This Row],[Date]])</f>
        <v>2</v>
      </c>
      <c r="B29" s="35" t="s">
        <v>24</v>
      </c>
      <c r="C29" s="31">
        <v>46028</v>
      </c>
      <c r="D29" s="26" t="s">
        <v>11</v>
      </c>
      <c r="E29" s="22" t="s">
        <v>25</v>
      </c>
      <c r="F29" s="28" t="s">
        <v>95</v>
      </c>
      <c r="G29" s="28" t="s">
        <v>8</v>
      </c>
      <c r="H29" s="24">
        <v>6</v>
      </c>
      <c r="I29" s="24">
        <v>1</v>
      </c>
      <c r="J29" s="28" t="s">
        <v>96</v>
      </c>
      <c r="K29" s="28" t="s">
        <v>61</v>
      </c>
      <c r="L29" s="28" t="s">
        <v>29</v>
      </c>
      <c r="M29" s="28"/>
      <c r="N29" s="22" t="s">
        <v>166</v>
      </c>
      <c r="O29" s="22" t="s">
        <v>238</v>
      </c>
      <c r="P29" s="29" t="s">
        <v>16</v>
      </c>
      <c r="Q29" s="5"/>
    </row>
    <row r="30" spans="1:17" ht="21" x14ac:dyDescent="0.3">
      <c r="A30" s="28">
        <f>WEEKNUM(Table1[[#This Row],[Date]])</f>
        <v>2</v>
      </c>
      <c r="B30" s="35" t="s">
        <v>24</v>
      </c>
      <c r="C30" s="31">
        <v>46028</v>
      </c>
      <c r="D30" s="26" t="s">
        <v>11</v>
      </c>
      <c r="E30" s="22" t="s">
        <v>25</v>
      </c>
      <c r="F30" s="28" t="s">
        <v>97</v>
      </c>
      <c r="G30" s="28" t="s">
        <v>8</v>
      </c>
      <c r="H30" s="24">
        <v>3</v>
      </c>
      <c r="I30" s="24">
        <v>0</v>
      </c>
      <c r="J30" s="28"/>
      <c r="K30" s="28" t="s">
        <v>934</v>
      </c>
      <c r="L30" s="28" t="s">
        <v>934</v>
      </c>
      <c r="M30" s="28"/>
      <c r="N30" s="28" t="s">
        <v>934</v>
      </c>
      <c r="O30" s="22"/>
      <c r="P30" s="29" t="s">
        <v>171</v>
      </c>
      <c r="Q30" s="5"/>
    </row>
    <row r="31" spans="1:17" ht="21" x14ac:dyDescent="0.3">
      <c r="A31" s="28">
        <f>WEEKNUM(Table1[[#This Row],[Date]])</f>
        <v>2</v>
      </c>
      <c r="B31" s="35" t="s">
        <v>24</v>
      </c>
      <c r="C31" s="31">
        <v>46028</v>
      </c>
      <c r="D31" s="26" t="s">
        <v>11</v>
      </c>
      <c r="E31" s="22" t="s">
        <v>25</v>
      </c>
      <c r="F31" s="28" t="s">
        <v>98</v>
      </c>
      <c r="G31" s="28" t="s">
        <v>27</v>
      </c>
      <c r="H31" s="24">
        <v>1</v>
      </c>
      <c r="I31" s="24">
        <v>1</v>
      </c>
      <c r="J31" s="28" t="s">
        <v>9</v>
      </c>
      <c r="K31" s="28" t="s">
        <v>349</v>
      </c>
      <c r="L31" s="28" t="s">
        <v>10</v>
      </c>
      <c r="M31" s="28">
        <v>251613</v>
      </c>
      <c r="N31" s="22" t="s">
        <v>166</v>
      </c>
      <c r="O31" s="22"/>
      <c r="P31" s="29" t="s">
        <v>11</v>
      </c>
      <c r="Q31" s="5"/>
    </row>
    <row r="32" spans="1:17" ht="21" x14ac:dyDescent="0.3">
      <c r="A32" s="28">
        <f>WEEKNUM(Table1[[#This Row],[Date]])</f>
        <v>2</v>
      </c>
      <c r="B32" s="35" t="s">
        <v>24</v>
      </c>
      <c r="C32" s="31">
        <v>46028</v>
      </c>
      <c r="D32" s="26" t="s">
        <v>11</v>
      </c>
      <c r="E32" s="22" t="s">
        <v>18</v>
      </c>
      <c r="F32" s="28" t="s">
        <v>99</v>
      </c>
      <c r="G32" s="28" t="s">
        <v>27</v>
      </c>
      <c r="H32" s="24">
        <v>5</v>
      </c>
      <c r="I32" s="24">
        <v>0</v>
      </c>
      <c r="J32" s="28"/>
      <c r="K32" s="28" t="s">
        <v>934</v>
      </c>
      <c r="L32" s="28" t="s">
        <v>934</v>
      </c>
      <c r="M32" s="28"/>
      <c r="N32" s="28" t="s">
        <v>934</v>
      </c>
      <c r="O32" s="22"/>
      <c r="P32" s="29" t="s">
        <v>171</v>
      </c>
      <c r="Q32" s="5"/>
    </row>
    <row r="33" spans="1:17" ht="21" x14ac:dyDescent="0.3">
      <c r="A33" s="28">
        <f>WEEKNUM(Table1[[#This Row],[Date]])</f>
        <v>2</v>
      </c>
      <c r="B33" s="35" t="s">
        <v>24</v>
      </c>
      <c r="C33" s="31">
        <v>46028</v>
      </c>
      <c r="D33" s="26" t="s">
        <v>11</v>
      </c>
      <c r="E33" s="22" t="s">
        <v>18</v>
      </c>
      <c r="F33" s="28" t="s">
        <v>100</v>
      </c>
      <c r="G33" s="28" t="s">
        <v>27</v>
      </c>
      <c r="H33" s="24">
        <v>7</v>
      </c>
      <c r="I33" s="24">
        <v>0</v>
      </c>
      <c r="J33" s="28"/>
      <c r="K33" s="28" t="s">
        <v>934</v>
      </c>
      <c r="L33" s="28" t="s">
        <v>934</v>
      </c>
      <c r="M33" s="28"/>
      <c r="N33" s="28" t="s">
        <v>934</v>
      </c>
      <c r="O33" s="22"/>
      <c r="P33" s="29" t="s">
        <v>171</v>
      </c>
      <c r="Q33" s="5"/>
    </row>
    <row r="34" spans="1:17" ht="21" x14ac:dyDescent="0.3">
      <c r="A34" s="28">
        <f>WEEKNUM(Table1[[#This Row],[Date]])</f>
        <v>2</v>
      </c>
      <c r="B34" s="35" t="s">
        <v>24</v>
      </c>
      <c r="C34" s="31">
        <v>46028</v>
      </c>
      <c r="D34" s="26" t="s">
        <v>11</v>
      </c>
      <c r="E34" s="22" t="s">
        <v>18</v>
      </c>
      <c r="F34" s="28" t="s">
        <v>101</v>
      </c>
      <c r="G34" s="28" t="s">
        <v>27</v>
      </c>
      <c r="H34" s="24">
        <v>7</v>
      </c>
      <c r="I34" s="24">
        <v>0</v>
      </c>
      <c r="J34" s="28"/>
      <c r="K34" s="28" t="s">
        <v>934</v>
      </c>
      <c r="L34" s="28" t="s">
        <v>934</v>
      </c>
      <c r="M34" s="28"/>
      <c r="N34" s="28" t="s">
        <v>934</v>
      </c>
      <c r="O34" s="22"/>
      <c r="P34" s="29" t="s">
        <v>171</v>
      </c>
      <c r="Q34" s="5"/>
    </row>
    <row r="35" spans="1:17" ht="21" x14ac:dyDescent="0.3">
      <c r="A35" s="28">
        <f>WEEKNUM(Table1[[#This Row],[Date]])</f>
        <v>2</v>
      </c>
      <c r="B35" s="35" t="s">
        <v>24</v>
      </c>
      <c r="C35" s="31">
        <v>46028</v>
      </c>
      <c r="D35" s="26" t="s">
        <v>11</v>
      </c>
      <c r="E35" s="22" t="s">
        <v>18</v>
      </c>
      <c r="F35" s="28" t="s">
        <v>95</v>
      </c>
      <c r="G35" s="28" t="s">
        <v>8</v>
      </c>
      <c r="H35" s="24">
        <v>4</v>
      </c>
      <c r="I35" s="24">
        <v>0</v>
      </c>
      <c r="J35" s="28"/>
      <c r="K35" s="28" t="s">
        <v>934</v>
      </c>
      <c r="L35" s="28" t="s">
        <v>934</v>
      </c>
      <c r="M35" s="28"/>
      <c r="N35" s="28" t="s">
        <v>934</v>
      </c>
      <c r="O35" s="22"/>
      <c r="P35" s="29" t="s">
        <v>171</v>
      </c>
      <c r="Q35" s="5"/>
    </row>
    <row r="36" spans="1:17" ht="21.6" thickBot="1" x14ac:dyDescent="0.35">
      <c r="A36" s="28">
        <f>WEEKNUM(Table1[[#This Row],[Date]])</f>
        <v>2</v>
      </c>
      <c r="B36" s="35" t="s">
        <v>24</v>
      </c>
      <c r="C36" s="31">
        <v>46028</v>
      </c>
      <c r="D36" s="26" t="s">
        <v>11</v>
      </c>
      <c r="E36" s="22" t="s">
        <v>18</v>
      </c>
      <c r="F36" s="28" t="s">
        <v>102</v>
      </c>
      <c r="G36" s="28" t="s">
        <v>27</v>
      </c>
      <c r="H36" s="24">
        <v>129</v>
      </c>
      <c r="I36" s="24">
        <v>0</v>
      </c>
      <c r="J36" s="28"/>
      <c r="K36" s="28" t="s">
        <v>934</v>
      </c>
      <c r="L36" s="28" t="s">
        <v>934</v>
      </c>
      <c r="M36" s="28"/>
      <c r="N36" s="28" t="s">
        <v>934</v>
      </c>
      <c r="O36" s="22"/>
      <c r="P36" s="29" t="s">
        <v>171</v>
      </c>
      <c r="Q36" s="6" t="s">
        <v>103</v>
      </c>
    </row>
    <row r="37" spans="1:17" ht="21.6" thickTop="1" x14ac:dyDescent="0.3">
      <c r="A37" s="28">
        <f>WEEKNUM(Table1[[#This Row],[Date]])</f>
        <v>2</v>
      </c>
      <c r="B37" s="35" t="s">
        <v>24</v>
      </c>
      <c r="C37" s="31">
        <v>46029</v>
      </c>
      <c r="D37" s="26" t="s">
        <v>11</v>
      </c>
      <c r="E37" s="22" t="s">
        <v>25</v>
      </c>
      <c r="F37" s="28" t="s">
        <v>92</v>
      </c>
      <c r="G37" s="28" t="s">
        <v>27</v>
      </c>
      <c r="H37" s="24">
        <v>121</v>
      </c>
      <c r="I37" s="24">
        <v>0</v>
      </c>
      <c r="J37" s="28"/>
      <c r="K37" s="28" t="s">
        <v>934</v>
      </c>
      <c r="L37" s="28" t="s">
        <v>934</v>
      </c>
      <c r="M37" s="28"/>
      <c r="N37" s="28" t="s">
        <v>934</v>
      </c>
      <c r="O37" s="22"/>
      <c r="P37" s="29" t="s">
        <v>171</v>
      </c>
      <c r="Q37" s="7"/>
    </row>
    <row r="38" spans="1:17" ht="21" x14ac:dyDescent="0.3">
      <c r="A38" s="28">
        <f>WEEKNUM(Table1[[#This Row],[Date]])</f>
        <v>2</v>
      </c>
      <c r="B38" s="35" t="s">
        <v>24</v>
      </c>
      <c r="C38" s="31">
        <v>46029</v>
      </c>
      <c r="D38" s="26" t="s">
        <v>11</v>
      </c>
      <c r="E38" s="22" t="s">
        <v>25</v>
      </c>
      <c r="F38" s="28" t="s">
        <v>104</v>
      </c>
      <c r="G38" s="28" t="s">
        <v>8</v>
      </c>
      <c r="H38" s="24">
        <v>11</v>
      </c>
      <c r="I38" s="24">
        <v>0</v>
      </c>
      <c r="J38" s="28"/>
      <c r="K38" s="28" t="s">
        <v>934</v>
      </c>
      <c r="L38" s="28" t="s">
        <v>934</v>
      </c>
      <c r="M38" s="28"/>
      <c r="N38" s="28" t="s">
        <v>934</v>
      </c>
      <c r="O38" s="22"/>
      <c r="P38" s="29" t="s">
        <v>171</v>
      </c>
      <c r="Q38" s="5"/>
    </row>
    <row r="39" spans="1:17" ht="21" x14ac:dyDescent="0.3">
      <c r="A39" s="28">
        <f>WEEKNUM(Table1[[#This Row],[Date]])</f>
        <v>2</v>
      </c>
      <c r="B39" s="35" t="s">
        <v>24</v>
      </c>
      <c r="C39" s="31">
        <v>46029</v>
      </c>
      <c r="D39" s="26" t="s">
        <v>11</v>
      </c>
      <c r="E39" s="22" t="s">
        <v>25</v>
      </c>
      <c r="F39" s="28" t="s">
        <v>105</v>
      </c>
      <c r="G39" s="28" t="s">
        <v>8</v>
      </c>
      <c r="H39" s="24">
        <v>11</v>
      </c>
      <c r="I39" s="24">
        <v>1</v>
      </c>
      <c r="J39" s="28" t="s">
        <v>15</v>
      </c>
      <c r="K39" s="28" t="s">
        <v>61</v>
      </c>
      <c r="L39" s="28" t="s">
        <v>93</v>
      </c>
      <c r="M39" s="28">
        <v>251614</v>
      </c>
      <c r="N39" s="22" t="s">
        <v>164</v>
      </c>
      <c r="O39" s="22"/>
      <c r="P39" s="29" t="s">
        <v>16</v>
      </c>
      <c r="Q39" s="5"/>
    </row>
    <row r="40" spans="1:17" ht="21" x14ac:dyDescent="0.3">
      <c r="A40" s="28">
        <f>WEEKNUM(Table1[[#This Row],[Date]])</f>
        <v>2</v>
      </c>
      <c r="B40" s="35" t="s">
        <v>24</v>
      </c>
      <c r="C40" s="31">
        <v>46029</v>
      </c>
      <c r="D40" s="26" t="s">
        <v>11</v>
      </c>
      <c r="E40" s="22" t="s">
        <v>25</v>
      </c>
      <c r="F40" s="28" t="s">
        <v>106</v>
      </c>
      <c r="G40" s="28" t="s">
        <v>8</v>
      </c>
      <c r="H40" s="24">
        <v>6</v>
      </c>
      <c r="I40" s="24">
        <v>0</v>
      </c>
      <c r="J40" s="28"/>
      <c r="K40" s="28" t="s">
        <v>934</v>
      </c>
      <c r="L40" s="28" t="s">
        <v>934</v>
      </c>
      <c r="M40" s="28"/>
      <c r="N40" s="28" t="s">
        <v>934</v>
      </c>
      <c r="O40" s="22"/>
      <c r="P40" s="29" t="s">
        <v>171</v>
      </c>
      <c r="Q40" s="5"/>
    </row>
    <row r="41" spans="1:17" ht="21" x14ac:dyDescent="0.3">
      <c r="A41" s="28">
        <f>WEEKNUM(Table1[[#This Row],[Date]])</f>
        <v>2</v>
      </c>
      <c r="B41" s="35" t="s">
        <v>24</v>
      </c>
      <c r="C41" s="31">
        <v>46029</v>
      </c>
      <c r="D41" s="26" t="s">
        <v>11</v>
      </c>
      <c r="E41" s="22" t="s">
        <v>25</v>
      </c>
      <c r="F41" s="28" t="s">
        <v>107</v>
      </c>
      <c r="G41" s="28" t="s">
        <v>8</v>
      </c>
      <c r="H41" s="24">
        <v>38</v>
      </c>
      <c r="I41" s="24">
        <v>1</v>
      </c>
      <c r="J41" s="28"/>
      <c r="K41" s="28" t="s">
        <v>349</v>
      </c>
      <c r="L41" s="28" t="s">
        <v>239</v>
      </c>
      <c r="M41" s="28"/>
      <c r="N41" s="22" t="s">
        <v>164</v>
      </c>
      <c r="O41" s="22" t="s">
        <v>239</v>
      </c>
      <c r="P41" s="29" t="s">
        <v>11</v>
      </c>
      <c r="Q41" s="5"/>
    </row>
    <row r="42" spans="1:17" ht="21" x14ac:dyDescent="0.3">
      <c r="A42" s="28">
        <f>WEEKNUM(Table1[[#This Row],[Date]])</f>
        <v>2</v>
      </c>
      <c r="B42" s="35" t="s">
        <v>24</v>
      </c>
      <c r="C42" s="31">
        <v>46029</v>
      </c>
      <c r="D42" s="26" t="s">
        <v>11</v>
      </c>
      <c r="E42" s="22" t="s">
        <v>25</v>
      </c>
      <c r="F42" s="28" t="s">
        <v>108</v>
      </c>
      <c r="G42" s="28" t="s">
        <v>8</v>
      </c>
      <c r="H42" s="24">
        <v>21</v>
      </c>
      <c r="I42" s="24">
        <v>1</v>
      </c>
      <c r="J42" s="28"/>
      <c r="K42" s="28" t="s">
        <v>349</v>
      </c>
      <c r="L42" s="28" t="s">
        <v>34</v>
      </c>
      <c r="M42" s="28"/>
      <c r="N42" s="22" t="s">
        <v>164</v>
      </c>
      <c r="O42" s="22" t="s">
        <v>240</v>
      </c>
      <c r="P42" s="29" t="s">
        <v>11</v>
      </c>
      <c r="Q42" s="5"/>
    </row>
    <row r="43" spans="1:17" ht="21" x14ac:dyDescent="0.3">
      <c r="A43" s="28">
        <f>WEEKNUM(Table1[[#This Row],[Date]])</f>
        <v>2</v>
      </c>
      <c r="B43" s="35" t="s">
        <v>24</v>
      </c>
      <c r="C43" s="31">
        <v>46029</v>
      </c>
      <c r="D43" s="26" t="s">
        <v>11</v>
      </c>
      <c r="E43" s="22" t="s">
        <v>25</v>
      </c>
      <c r="F43" s="28" t="s">
        <v>109</v>
      </c>
      <c r="G43" s="28" t="s">
        <v>8</v>
      </c>
      <c r="H43" s="24">
        <v>5</v>
      </c>
      <c r="I43" s="24">
        <v>1</v>
      </c>
      <c r="J43" s="28" t="s">
        <v>12</v>
      </c>
      <c r="K43" s="28" t="s">
        <v>349</v>
      </c>
      <c r="L43" s="28" t="s">
        <v>13</v>
      </c>
      <c r="M43" s="28"/>
      <c r="N43" s="22" t="s">
        <v>166</v>
      </c>
      <c r="O43" s="22"/>
      <c r="P43" s="29" t="s">
        <v>11</v>
      </c>
      <c r="Q43" s="5"/>
    </row>
    <row r="44" spans="1:17" ht="21" x14ac:dyDescent="0.3">
      <c r="A44" s="28">
        <f>WEEKNUM(Table1[[#This Row],[Date]])</f>
        <v>2</v>
      </c>
      <c r="B44" s="35" t="s">
        <v>24</v>
      </c>
      <c r="C44" s="31">
        <v>46029</v>
      </c>
      <c r="D44" s="26" t="s">
        <v>11</v>
      </c>
      <c r="E44" s="22" t="s">
        <v>25</v>
      </c>
      <c r="F44" s="28" t="s">
        <v>48</v>
      </c>
      <c r="G44" s="28" t="s">
        <v>27</v>
      </c>
      <c r="H44" s="24">
        <v>1</v>
      </c>
      <c r="I44" s="24">
        <v>1</v>
      </c>
      <c r="J44" s="28" t="s">
        <v>9</v>
      </c>
      <c r="K44" s="28" t="s">
        <v>349</v>
      </c>
      <c r="L44" s="28" t="s">
        <v>45</v>
      </c>
      <c r="M44" s="28">
        <v>251615</v>
      </c>
      <c r="N44" s="22" t="s">
        <v>166</v>
      </c>
      <c r="O44" s="22"/>
      <c r="P44" s="29" t="s">
        <v>11</v>
      </c>
      <c r="Q44" s="5"/>
    </row>
    <row r="45" spans="1:17" ht="21" x14ac:dyDescent="0.3">
      <c r="A45" s="28">
        <f>WEEKNUM(Table1[[#This Row],[Date]])</f>
        <v>2</v>
      </c>
      <c r="B45" s="35" t="s">
        <v>24</v>
      </c>
      <c r="C45" s="31">
        <v>46029</v>
      </c>
      <c r="D45" s="26" t="s">
        <v>11</v>
      </c>
      <c r="E45" s="22" t="s">
        <v>18</v>
      </c>
      <c r="F45" s="28" t="s">
        <v>110</v>
      </c>
      <c r="G45" s="28" t="s">
        <v>8</v>
      </c>
      <c r="H45" s="24">
        <v>2</v>
      </c>
      <c r="I45" s="24">
        <v>1</v>
      </c>
      <c r="J45" s="28" t="s">
        <v>12</v>
      </c>
      <c r="K45" s="28" t="s">
        <v>349</v>
      </c>
      <c r="L45" s="28" t="s">
        <v>51</v>
      </c>
      <c r="M45" s="28">
        <v>251616</v>
      </c>
      <c r="N45" s="22" t="s">
        <v>166</v>
      </c>
      <c r="O45" s="22"/>
      <c r="P45" s="29" t="s">
        <v>11</v>
      </c>
      <c r="Q45" s="5"/>
    </row>
    <row r="46" spans="1:17" ht="21" x14ac:dyDescent="0.3">
      <c r="A46" s="28">
        <f>WEEKNUM(Table1[[#This Row],[Date]])</f>
        <v>2</v>
      </c>
      <c r="B46" s="35" t="s">
        <v>24</v>
      </c>
      <c r="C46" s="31">
        <v>46029</v>
      </c>
      <c r="D46" s="26" t="s">
        <v>11</v>
      </c>
      <c r="E46" s="22" t="s">
        <v>18</v>
      </c>
      <c r="F46" s="28" t="s">
        <v>111</v>
      </c>
      <c r="G46" s="28" t="s">
        <v>27</v>
      </c>
      <c r="H46" s="24">
        <v>12</v>
      </c>
      <c r="I46" s="24">
        <v>1</v>
      </c>
      <c r="J46" s="28"/>
      <c r="K46" s="28" t="s">
        <v>349</v>
      </c>
      <c r="L46" s="28" t="s">
        <v>241</v>
      </c>
      <c r="M46" s="28"/>
      <c r="N46" s="22" t="s">
        <v>164</v>
      </c>
      <c r="O46" s="22" t="s">
        <v>241</v>
      </c>
      <c r="P46" s="29" t="s">
        <v>11</v>
      </c>
      <c r="Q46" s="5"/>
    </row>
    <row r="47" spans="1:17" ht="21" x14ac:dyDescent="0.3">
      <c r="A47" s="28">
        <f>WEEKNUM(Table1[[#This Row],[Date]])</f>
        <v>2</v>
      </c>
      <c r="B47" s="35" t="s">
        <v>24</v>
      </c>
      <c r="C47" s="31">
        <v>46029</v>
      </c>
      <c r="D47" s="26" t="s">
        <v>11</v>
      </c>
      <c r="E47" s="22" t="s">
        <v>18</v>
      </c>
      <c r="F47" s="28" t="s">
        <v>112</v>
      </c>
      <c r="G47" s="28" t="s">
        <v>27</v>
      </c>
      <c r="H47" s="24">
        <v>113</v>
      </c>
      <c r="I47" s="24">
        <v>1</v>
      </c>
      <c r="J47" s="28"/>
      <c r="K47" s="28" t="s">
        <v>740</v>
      </c>
      <c r="L47" s="28" t="s">
        <v>242</v>
      </c>
      <c r="M47" s="28"/>
      <c r="N47" s="22" t="s">
        <v>166</v>
      </c>
      <c r="O47" s="22" t="s">
        <v>242</v>
      </c>
      <c r="P47" s="29" t="s">
        <v>11</v>
      </c>
      <c r="Q47" s="5"/>
    </row>
    <row r="48" spans="1:17" ht="21" x14ac:dyDescent="0.3">
      <c r="A48" s="28">
        <f>WEEKNUM(Table1[[#This Row],[Date]])</f>
        <v>2</v>
      </c>
      <c r="B48" s="35" t="s">
        <v>24</v>
      </c>
      <c r="C48" s="31">
        <v>46029</v>
      </c>
      <c r="D48" s="26" t="s">
        <v>11</v>
      </c>
      <c r="E48" s="22" t="s">
        <v>18</v>
      </c>
      <c r="F48" s="28" t="s">
        <v>54</v>
      </c>
      <c r="G48" s="28" t="s">
        <v>27</v>
      </c>
      <c r="H48" s="24">
        <v>21</v>
      </c>
      <c r="I48" s="24">
        <v>1</v>
      </c>
      <c r="J48" s="28"/>
      <c r="K48" s="28" t="s">
        <v>61</v>
      </c>
      <c r="L48" s="28" t="s">
        <v>243</v>
      </c>
      <c r="M48" s="28"/>
      <c r="N48" s="22" t="s">
        <v>164</v>
      </c>
      <c r="O48" s="22" t="s">
        <v>243</v>
      </c>
      <c r="P48" s="29" t="s">
        <v>16</v>
      </c>
      <c r="Q48" s="5"/>
    </row>
    <row r="49" spans="1:17" ht="21" x14ac:dyDescent="0.3">
      <c r="A49" s="28">
        <f>WEEKNUM(Table1[[#This Row],[Date]])</f>
        <v>2</v>
      </c>
      <c r="B49" s="35" t="s">
        <v>24</v>
      </c>
      <c r="C49" s="31">
        <v>46029</v>
      </c>
      <c r="D49" s="26" t="s">
        <v>11</v>
      </c>
      <c r="E49" s="22" t="s">
        <v>18</v>
      </c>
      <c r="F49" s="28" t="s">
        <v>113</v>
      </c>
      <c r="G49" s="28" t="s">
        <v>27</v>
      </c>
      <c r="H49" s="24">
        <v>24</v>
      </c>
      <c r="I49" s="24">
        <v>1</v>
      </c>
      <c r="J49" s="28" t="s">
        <v>17</v>
      </c>
      <c r="K49" s="28" t="s">
        <v>349</v>
      </c>
      <c r="L49" s="28" t="s">
        <v>45</v>
      </c>
      <c r="M49" s="28">
        <v>251617</v>
      </c>
      <c r="N49" s="22" t="s">
        <v>166</v>
      </c>
      <c r="O49" s="22"/>
      <c r="P49" s="29" t="s">
        <v>11</v>
      </c>
      <c r="Q49" s="5"/>
    </row>
    <row r="50" spans="1:17" ht="21" x14ac:dyDescent="0.3">
      <c r="A50" s="28">
        <f>WEEKNUM(Table1[[#This Row],[Date]])</f>
        <v>2</v>
      </c>
      <c r="B50" s="35" t="s">
        <v>24</v>
      </c>
      <c r="C50" s="31">
        <v>46029</v>
      </c>
      <c r="D50" s="26" t="s">
        <v>11</v>
      </c>
      <c r="E50" s="22" t="s">
        <v>18</v>
      </c>
      <c r="F50" s="28" t="s">
        <v>114</v>
      </c>
      <c r="G50" s="28" t="s">
        <v>8</v>
      </c>
      <c r="H50" s="24">
        <v>7</v>
      </c>
      <c r="I50" s="24">
        <v>1</v>
      </c>
      <c r="J50" s="28" t="s">
        <v>115</v>
      </c>
      <c r="K50" s="28" t="s">
        <v>740</v>
      </c>
      <c r="L50" s="28" t="s">
        <v>35</v>
      </c>
      <c r="M50" s="28">
        <v>251618</v>
      </c>
      <c r="N50" s="22" t="s">
        <v>166</v>
      </c>
      <c r="O50" s="22"/>
      <c r="P50" s="29" t="s">
        <v>11</v>
      </c>
      <c r="Q50" s="5"/>
    </row>
    <row r="51" spans="1:17" ht="21.6" thickBot="1" x14ac:dyDescent="0.35">
      <c r="A51" s="28">
        <f>WEEKNUM(Table1[[#This Row],[Date]])</f>
        <v>2</v>
      </c>
      <c r="B51" s="35" t="s">
        <v>24</v>
      </c>
      <c r="C51" s="31">
        <v>46029</v>
      </c>
      <c r="D51" s="26" t="s">
        <v>11</v>
      </c>
      <c r="E51" s="22" t="s">
        <v>18</v>
      </c>
      <c r="F51" s="28" t="s">
        <v>116</v>
      </c>
      <c r="G51" s="28" t="s">
        <v>8</v>
      </c>
      <c r="H51" s="24">
        <v>1</v>
      </c>
      <c r="I51" s="24">
        <v>1</v>
      </c>
      <c r="J51" s="28" t="s">
        <v>9</v>
      </c>
      <c r="K51" s="28" t="s">
        <v>61</v>
      </c>
      <c r="L51" s="28" t="s">
        <v>52</v>
      </c>
      <c r="M51" s="28">
        <v>251619</v>
      </c>
      <c r="N51" s="22" t="s">
        <v>164</v>
      </c>
      <c r="O51" s="22"/>
      <c r="P51" s="29" t="s">
        <v>16</v>
      </c>
      <c r="Q51" s="8"/>
    </row>
    <row r="52" spans="1:17" ht="21.6" thickTop="1" x14ac:dyDescent="0.3">
      <c r="A52" s="28">
        <f>WEEKNUM(Table1[[#This Row],[Date]])</f>
        <v>2</v>
      </c>
      <c r="B52" s="35" t="s">
        <v>24</v>
      </c>
      <c r="C52" s="31">
        <v>46030</v>
      </c>
      <c r="D52" s="26" t="s">
        <v>11</v>
      </c>
      <c r="E52" s="22" t="s">
        <v>25</v>
      </c>
      <c r="F52" s="28" t="s">
        <v>117</v>
      </c>
      <c r="G52" s="28" t="s">
        <v>27</v>
      </c>
      <c r="H52" s="24">
        <v>18</v>
      </c>
      <c r="I52" s="24">
        <v>1</v>
      </c>
      <c r="J52" s="28" t="s">
        <v>12</v>
      </c>
      <c r="K52" s="28" t="s">
        <v>349</v>
      </c>
      <c r="L52" s="28" t="s">
        <v>118</v>
      </c>
      <c r="M52" s="28">
        <v>251620</v>
      </c>
      <c r="N52" s="22" t="s">
        <v>166</v>
      </c>
      <c r="O52" s="22"/>
      <c r="P52" s="29" t="s">
        <v>11</v>
      </c>
      <c r="Q52" s="4"/>
    </row>
    <row r="53" spans="1:17" ht="21" x14ac:dyDescent="0.3">
      <c r="A53" s="28">
        <f>WEEKNUM(Table1[[#This Row],[Date]])</f>
        <v>2</v>
      </c>
      <c r="B53" s="35" t="s">
        <v>24</v>
      </c>
      <c r="C53" s="31">
        <v>46030</v>
      </c>
      <c r="D53" s="26" t="s">
        <v>11</v>
      </c>
      <c r="E53" s="22" t="s">
        <v>25</v>
      </c>
      <c r="F53" s="28" t="s">
        <v>119</v>
      </c>
      <c r="G53" s="28" t="s">
        <v>8</v>
      </c>
      <c r="H53" s="24">
        <v>7</v>
      </c>
      <c r="I53" s="24">
        <v>1</v>
      </c>
      <c r="J53" s="28" t="s">
        <v>115</v>
      </c>
      <c r="K53" s="28" t="s">
        <v>740</v>
      </c>
      <c r="L53" s="28" t="s">
        <v>35</v>
      </c>
      <c r="M53" s="28">
        <v>251621</v>
      </c>
      <c r="N53" s="22" t="s">
        <v>164</v>
      </c>
      <c r="O53" s="22"/>
      <c r="P53" s="29" t="s">
        <v>11</v>
      </c>
      <c r="Q53" s="5"/>
    </row>
    <row r="54" spans="1:17" ht="21" x14ac:dyDescent="0.3">
      <c r="A54" s="28">
        <f>WEEKNUM(Table1[[#This Row],[Date]])</f>
        <v>2</v>
      </c>
      <c r="B54" s="35" t="s">
        <v>24</v>
      </c>
      <c r="C54" s="31">
        <v>46030</v>
      </c>
      <c r="D54" s="26" t="s">
        <v>11</v>
      </c>
      <c r="E54" s="22" t="s">
        <v>25</v>
      </c>
      <c r="F54" s="28" t="s">
        <v>119</v>
      </c>
      <c r="G54" s="28" t="s">
        <v>8</v>
      </c>
      <c r="H54" s="24">
        <v>7</v>
      </c>
      <c r="I54" s="24">
        <v>1</v>
      </c>
      <c r="J54" s="28" t="s">
        <v>15</v>
      </c>
      <c r="K54" s="28" t="s">
        <v>740</v>
      </c>
      <c r="L54" s="28" t="s">
        <v>36</v>
      </c>
      <c r="M54" s="28"/>
      <c r="N54" s="22" t="s">
        <v>169</v>
      </c>
      <c r="O54" s="22"/>
      <c r="P54" s="29" t="s">
        <v>11</v>
      </c>
      <c r="Q54" s="5"/>
    </row>
    <row r="55" spans="1:17" ht="21" x14ac:dyDescent="0.3">
      <c r="A55" s="28">
        <f>WEEKNUM(Table1[[#This Row],[Date]])</f>
        <v>2</v>
      </c>
      <c r="B55" s="35" t="s">
        <v>24</v>
      </c>
      <c r="C55" s="31">
        <v>46030</v>
      </c>
      <c r="D55" s="26" t="s">
        <v>11</v>
      </c>
      <c r="E55" s="22" t="s">
        <v>25</v>
      </c>
      <c r="F55" s="28" t="s">
        <v>116</v>
      </c>
      <c r="G55" s="28" t="s">
        <v>8</v>
      </c>
      <c r="H55" s="24">
        <v>8</v>
      </c>
      <c r="I55" s="24">
        <v>1</v>
      </c>
      <c r="J55" s="28" t="s">
        <v>120</v>
      </c>
      <c r="K55" s="28" t="s">
        <v>353</v>
      </c>
      <c r="L55" s="28" t="s">
        <v>51</v>
      </c>
      <c r="M55" s="28">
        <v>251622</v>
      </c>
      <c r="N55" s="22" t="s">
        <v>166</v>
      </c>
      <c r="O55" s="22"/>
      <c r="P55" s="29" t="s">
        <v>14</v>
      </c>
      <c r="Q55" s="5"/>
    </row>
    <row r="56" spans="1:17" ht="21" x14ac:dyDescent="0.3">
      <c r="A56" s="28">
        <f>WEEKNUM(Table1[[#This Row],[Date]])</f>
        <v>2</v>
      </c>
      <c r="B56" s="35" t="s">
        <v>24</v>
      </c>
      <c r="C56" s="31">
        <v>46030</v>
      </c>
      <c r="D56" s="26" t="s">
        <v>11</v>
      </c>
      <c r="E56" s="22" t="s">
        <v>25</v>
      </c>
      <c r="F56" s="28" t="s">
        <v>116</v>
      </c>
      <c r="G56" s="28" t="s">
        <v>8</v>
      </c>
      <c r="H56" s="24">
        <v>8</v>
      </c>
      <c r="I56" s="24">
        <v>1</v>
      </c>
      <c r="J56" s="28" t="s">
        <v>9</v>
      </c>
      <c r="K56" s="28" t="s">
        <v>61</v>
      </c>
      <c r="L56" s="28" t="s">
        <v>34</v>
      </c>
      <c r="M56" s="28"/>
      <c r="N56" s="22" t="s">
        <v>164</v>
      </c>
      <c r="O56" s="22"/>
      <c r="P56" s="29" t="s">
        <v>16</v>
      </c>
      <c r="Q56" s="5"/>
    </row>
    <row r="57" spans="1:17" ht="21" x14ac:dyDescent="0.3">
      <c r="A57" s="28">
        <f>WEEKNUM(Table1[[#This Row],[Date]])</f>
        <v>2</v>
      </c>
      <c r="B57" s="35" t="s">
        <v>24</v>
      </c>
      <c r="C57" s="31">
        <v>46030</v>
      </c>
      <c r="D57" s="26" t="s">
        <v>11</v>
      </c>
      <c r="E57" s="22" t="s">
        <v>25</v>
      </c>
      <c r="F57" s="28" t="s">
        <v>116</v>
      </c>
      <c r="G57" s="28" t="s">
        <v>8</v>
      </c>
      <c r="H57" s="24">
        <v>8</v>
      </c>
      <c r="I57" s="24">
        <v>1</v>
      </c>
      <c r="J57" s="28" t="s">
        <v>121</v>
      </c>
      <c r="K57" s="28" t="s">
        <v>349</v>
      </c>
      <c r="L57" s="28" t="s">
        <v>45</v>
      </c>
      <c r="M57" s="28"/>
      <c r="N57" s="22" t="s">
        <v>166</v>
      </c>
      <c r="O57" s="22" t="s">
        <v>244</v>
      </c>
      <c r="P57" s="29" t="s">
        <v>11</v>
      </c>
      <c r="Q57" s="5"/>
    </row>
    <row r="58" spans="1:17" ht="21" x14ac:dyDescent="0.3">
      <c r="A58" s="28">
        <f>WEEKNUM(Table1[[#This Row],[Date]])</f>
        <v>2</v>
      </c>
      <c r="B58" s="35" t="s">
        <v>24</v>
      </c>
      <c r="C58" s="31">
        <v>46030</v>
      </c>
      <c r="D58" s="26" t="s">
        <v>11</v>
      </c>
      <c r="E58" s="22" t="s">
        <v>25</v>
      </c>
      <c r="F58" s="28" t="s">
        <v>122</v>
      </c>
      <c r="G58" s="28" t="s">
        <v>8</v>
      </c>
      <c r="H58" s="24">
        <v>2</v>
      </c>
      <c r="I58" s="24">
        <v>1</v>
      </c>
      <c r="J58" s="28" t="s">
        <v>12</v>
      </c>
      <c r="K58" s="28" t="s">
        <v>353</v>
      </c>
      <c r="L58" s="28" t="s">
        <v>13</v>
      </c>
      <c r="M58" s="28">
        <v>251623</v>
      </c>
      <c r="N58" s="22" t="s">
        <v>166</v>
      </c>
      <c r="O58" s="22" t="s">
        <v>244</v>
      </c>
      <c r="P58" s="29" t="s">
        <v>14</v>
      </c>
      <c r="Q58" s="5"/>
    </row>
    <row r="59" spans="1:17" ht="21" x14ac:dyDescent="0.3">
      <c r="A59" s="28">
        <f>WEEKNUM(Table1[[#This Row],[Date]])</f>
        <v>2</v>
      </c>
      <c r="B59" s="35" t="s">
        <v>24</v>
      </c>
      <c r="C59" s="31">
        <v>46030</v>
      </c>
      <c r="D59" s="26" t="s">
        <v>11</v>
      </c>
      <c r="E59" s="22" t="s">
        <v>25</v>
      </c>
      <c r="F59" s="28" t="s">
        <v>123</v>
      </c>
      <c r="G59" s="28" t="s">
        <v>27</v>
      </c>
      <c r="H59" s="24">
        <v>7</v>
      </c>
      <c r="I59" s="24">
        <v>0</v>
      </c>
      <c r="J59" s="28"/>
      <c r="K59" s="28" t="s">
        <v>934</v>
      </c>
      <c r="L59" s="28" t="s">
        <v>934</v>
      </c>
      <c r="M59" s="28"/>
      <c r="N59" s="28" t="s">
        <v>934</v>
      </c>
      <c r="O59" s="22"/>
      <c r="P59" s="29" t="s">
        <v>171</v>
      </c>
      <c r="Q59" s="5"/>
    </row>
    <row r="60" spans="1:17" ht="21" x14ac:dyDescent="0.3">
      <c r="A60" s="28">
        <f>WEEKNUM(Table1[[#This Row],[Date]])</f>
        <v>2</v>
      </c>
      <c r="B60" s="35" t="s">
        <v>24</v>
      </c>
      <c r="C60" s="31">
        <v>46030</v>
      </c>
      <c r="D60" s="26" t="s">
        <v>11</v>
      </c>
      <c r="E60" s="22" t="s">
        <v>25</v>
      </c>
      <c r="F60" s="28" t="s">
        <v>124</v>
      </c>
      <c r="G60" s="28" t="s">
        <v>8</v>
      </c>
      <c r="H60" s="24">
        <v>21</v>
      </c>
      <c r="I60" s="24">
        <v>1</v>
      </c>
      <c r="J60" s="28"/>
      <c r="K60" s="28" t="s">
        <v>61</v>
      </c>
      <c r="L60" s="28" t="s">
        <v>19</v>
      </c>
      <c r="M60" s="28"/>
      <c r="N60" s="22" t="s">
        <v>164</v>
      </c>
      <c r="O60" s="22" t="s">
        <v>245</v>
      </c>
      <c r="P60" s="29" t="s">
        <v>16</v>
      </c>
      <c r="Q60" s="5"/>
    </row>
    <row r="61" spans="1:17" ht="31.2" x14ac:dyDescent="0.3">
      <c r="A61" s="28">
        <f>WEEKNUM(Table1[[#This Row],[Date]])</f>
        <v>2</v>
      </c>
      <c r="B61" s="35" t="s">
        <v>24</v>
      </c>
      <c r="C61" s="31">
        <v>46030</v>
      </c>
      <c r="D61" s="26" t="s">
        <v>11</v>
      </c>
      <c r="E61" s="22" t="s">
        <v>18</v>
      </c>
      <c r="F61" s="28" t="s">
        <v>125</v>
      </c>
      <c r="G61" s="28" t="s">
        <v>8</v>
      </c>
      <c r="H61" s="24">
        <v>5</v>
      </c>
      <c r="I61" s="24">
        <v>1</v>
      </c>
      <c r="J61" s="28"/>
      <c r="K61" s="28" t="s">
        <v>348</v>
      </c>
      <c r="L61" s="28" t="s">
        <v>19</v>
      </c>
      <c r="M61" s="28"/>
      <c r="N61" s="22" t="s">
        <v>164</v>
      </c>
      <c r="O61" s="22" t="s">
        <v>246</v>
      </c>
      <c r="P61" s="29" t="s">
        <v>11</v>
      </c>
      <c r="Q61" s="5"/>
    </row>
    <row r="62" spans="1:17" ht="21" x14ac:dyDescent="0.3">
      <c r="A62" s="28">
        <f>WEEKNUM(Table1[[#This Row],[Date]])</f>
        <v>2</v>
      </c>
      <c r="B62" s="35" t="s">
        <v>24</v>
      </c>
      <c r="C62" s="31">
        <v>46030</v>
      </c>
      <c r="D62" s="26" t="s">
        <v>11</v>
      </c>
      <c r="E62" s="22" t="s">
        <v>18</v>
      </c>
      <c r="F62" s="28" t="s">
        <v>126</v>
      </c>
      <c r="G62" s="28" t="s">
        <v>8</v>
      </c>
      <c r="H62" s="24">
        <v>5</v>
      </c>
      <c r="I62" s="24">
        <v>0</v>
      </c>
      <c r="J62" s="28"/>
      <c r="K62" s="28" t="s">
        <v>934</v>
      </c>
      <c r="L62" s="28" t="s">
        <v>934</v>
      </c>
      <c r="M62" s="28"/>
      <c r="N62" s="28" t="s">
        <v>934</v>
      </c>
      <c r="O62" s="22"/>
      <c r="P62" s="29" t="s">
        <v>171</v>
      </c>
      <c r="Q62" s="5"/>
    </row>
    <row r="63" spans="1:17" ht="21" x14ac:dyDescent="0.3">
      <c r="A63" s="28">
        <f>WEEKNUM(Table1[[#This Row],[Date]])</f>
        <v>2</v>
      </c>
      <c r="B63" s="35" t="s">
        <v>24</v>
      </c>
      <c r="C63" s="31">
        <v>46030</v>
      </c>
      <c r="D63" s="26" t="s">
        <v>11</v>
      </c>
      <c r="E63" s="22" t="s">
        <v>18</v>
      </c>
      <c r="F63" s="28" t="s">
        <v>127</v>
      </c>
      <c r="G63" s="28" t="s">
        <v>8</v>
      </c>
      <c r="H63" s="24">
        <v>1</v>
      </c>
      <c r="I63" s="24">
        <v>1</v>
      </c>
      <c r="J63" s="28" t="s">
        <v>17</v>
      </c>
      <c r="K63" s="28" t="s">
        <v>61</v>
      </c>
      <c r="L63" s="28" t="s">
        <v>29</v>
      </c>
      <c r="M63" s="28">
        <v>251624</v>
      </c>
      <c r="N63" s="22" t="s">
        <v>164</v>
      </c>
      <c r="O63" s="22"/>
      <c r="P63" s="29" t="s">
        <v>16</v>
      </c>
      <c r="Q63" s="5"/>
    </row>
    <row r="64" spans="1:17" ht="21" x14ac:dyDescent="0.3">
      <c r="A64" s="28">
        <f>WEEKNUM(Table1[[#This Row],[Date]])</f>
        <v>2</v>
      </c>
      <c r="B64" s="35" t="s">
        <v>24</v>
      </c>
      <c r="C64" s="31">
        <v>46030</v>
      </c>
      <c r="D64" s="26" t="s">
        <v>11</v>
      </c>
      <c r="E64" s="22" t="s">
        <v>18</v>
      </c>
      <c r="F64" s="28" t="s">
        <v>128</v>
      </c>
      <c r="G64" s="28" t="s">
        <v>8</v>
      </c>
      <c r="H64" s="24">
        <v>1</v>
      </c>
      <c r="I64" s="24">
        <v>1</v>
      </c>
      <c r="J64" s="28" t="s">
        <v>17</v>
      </c>
      <c r="K64" s="28" t="s">
        <v>61</v>
      </c>
      <c r="L64" s="28" t="s">
        <v>29</v>
      </c>
      <c r="M64" s="28"/>
      <c r="N64" s="22" t="s">
        <v>164</v>
      </c>
      <c r="O64" s="22"/>
      <c r="P64" s="29" t="s">
        <v>16</v>
      </c>
      <c r="Q64" s="5"/>
    </row>
    <row r="65" spans="1:17" ht="21" x14ac:dyDescent="0.3">
      <c r="A65" s="28">
        <f>WEEKNUM(Table1[[#This Row],[Date]])</f>
        <v>2</v>
      </c>
      <c r="B65" s="35" t="s">
        <v>24</v>
      </c>
      <c r="C65" s="31">
        <v>46030</v>
      </c>
      <c r="D65" s="26" t="s">
        <v>11</v>
      </c>
      <c r="E65" s="22" t="s">
        <v>18</v>
      </c>
      <c r="F65" s="28" t="s">
        <v>84</v>
      </c>
      <c r="G65" s="28" t="s">
        <v>27</v>
      </c>
      <c r="H65" s="24">
        <v>18</v>
      </c>
      <c r="I65" s="24">
        <v>0</v>
      </c>
      <c r="J65" s="28"/>
      <c r="K65" s="28" t="s">
        <v>934</v>
      </c>
      <c r="L65" s="28" t="s">
        <v>934</v>
      </c>
      <c r="M65" s="28"/>
      <c r="N65" s="28" t="s">
        <v>934</v>
      </c>
      <c r="O65" s="22"/>
      <c r="P65" s="29" t="s">
        <v>171</v>
      </c>
      <c r="Q65" s="5"/>
    </row>
    <row r="66" spans="1:17" ht="21" x14ac:dyDescent="0.3">
      <c r="A66" s="28">
        <f>WEEKNUM(Table1[[#This Row],[Date]])</f>
        <v>2</v>
      </c>
      <c r="B66" s="35" t="s">
        <v>24</v>
      </c>
      <c r="C66" s="31">
        <v>46030</v>
      </c>
      <c r="D66" s="26" t="s">
        <v>11</v>
      </c>
      <c r="E66" s="22" t="s">
        <v>18</v>
      </c>
      <c r="F66" s="28" t="s">
        <v>129</v>
      </c>
      <c r="G66" s="28" t="s">
        <v>27</v>
      </c>
      <c r="H66" s="24">
        <v>36</v>
      </c>
      <c r="I66" s="24">
        <v>1</v>
      </c>
      <c r="J66" s="28" t="s">
        <v>17</v>
      </c>
      <c r="K66" s="28" t="s">
        <v>348</v>
      </c>
      <c r="L66" s="28" t="s">
        <v>19</v>
      </c>
      <c r="M66" s="28">
        <v>251625</v>
      </c>
      <c r="N66" s="22" t="s">
        <v>164</v>
      </c>
      <c r="O66" s="22"/>
      <c r="P66" s="29" t="s">
        <v>11</v>
      </c>
      <c r="Q66" s="5"/>
    </row>
    <row r="67" spans="1:17" ht="21.6" thickBot="1" x14ac:dyDescent="0.35">
      <c r="A67" s="28">
        <f>WEEKNUM(Table1[[#This Row],[Date]])</f>
        <v>2</v>
      </c>
      <c r="B67" s="35" t="s">
        <v>24</v>
      </c>
      <c r="C67" s="31">
        <v>46030</v>
      </c>
      <c r="D67" s="26" t="s">
        <v>11</v>
      </c>
      <c r="E67" s="22" t="s">
        <v>18</v>
      </c>
      <c r="F67" s="28" t="s">
        <v>130</v>
      </c>
      <c r="G67" s="28" t="s">
        <v>27</v>
      </c>
      <c r="H67" s="24">
        <v>8</v>
      </c>
      <c r="I67" s="24">
        <v>1</v>
      </c>
      <c r="J67" s="28" t="s">
        <v>9</v>
      </c>
      <c r="K67" s="28" t="s">
        <v>348</v>
      </c>
      <c r="L67" s="28" t="s">
        <v>19</v>
      </c>
      <c r="M67" s="28">
        <v>251626</v>
      </c>
      <c r="N67" s="22" t="s">
        <v>164</v>
      </c>
      <c r="O67" s="22"/>
      <c r="P67" s="29" t="s">
        <v>11</v>
      </c>
      <c r="Q67" s="6"/>
    </row>
    <row r="68" spans="1:17" ht="21.6" thickTop="1" x14ac:dyDescent="0.3">
      <c r="A68" s="28">
        <f>WEEKNUM(Table1[[#This Row],[Date]])</f>
        <v>2</v>
      </c>
      <c r="B68" s="35" t="s">
        <v>24</v>
      </c>
      <c r="C68" s="31">
        <v>46031</v>
      </c>
      <c r="D68" s="26" t="s">
        <v>11</v>
      </c>
      <c r="E68" s="22" t="s">
        <v>25</v>
      </c>
      <c r="F68" s="28" t="s">
        <v>128</v>
      </c>
      <c r="G68" s="28" t="s">
        <v>27</v>
      </c>
      <c r="H68" s="24">
        <v>7</v>
      </c>
      <c r="I68" s="24">
        <v>0</v>
      </c>
      <c r="J68" s="28" t="s">
        <v>9</v>
      </c>
      <c r="K68" s="28" t="s">
        <v>934</v>
      </c>
      <c r="L68" s="28" t="s">
        <v>934</v>
      </c>
      <c r="M68" s="28"/>
      <c r="N68" s="28" t="s">
        <v>934</v>
      </c>
      <c r="O68" s="22"/>
      <c r="P68" s="29" t="s">
        <v>171</v>
      </c>
      <c r="Q68" s="7"/>
    </row>
    <row r="69" spans="1:17" ht="21" x14ac:dyDescent="0.3">
      <c r="A69" s="28">
        <f>WEEKNUM(Table1[[#This Row],[Date]])</f>
        <v>2</v>
      </c>
      <c r="B69" s="35" t="s">
        <v>24</v>
      </c>
      <c r="C69" s="31">
        <v>46031</v>
      </c>
      <c r="D69" s="26" t="s">
        <v>11</v>
      </c>
      <c r="E69" s="22" t="s">
        <v>25</v>
      </c>
      <c r="F69" s="28" t="s">
        <v>128</v>
      </c>
      <c r="G69" s="28" t="s">
        <v>27</v>
      </c>
      <c r="H69" s="24">
        <v>7</v>
      </c>
      <c r="I69" s="24">
        <v>1</v>
      </c>
      <c r="J69" s="28" t="s">
        <v>17</v>
      </c>
      <c r="K69" s="28" t="s">
        <v>61</v>
      </c>
      <c r="L69" s="28" t="s">
        <v>29</v>
      </c>
      <c r="M69" s="28"/>
      <c r="N69" s="22" t="s">
        <v>164</v>
      </c>
      <c r="O69" s="22"/>
      <c r="P69" s="29" t="s">
        <v>16</v>
      </c>
      <c r="Q69" s="5"/>
    </row>
    <row r="70" spans="1:17" ht="21" x14ac:dyDescent="0.3">
      <c r="A70" s="28">
        <f>WEEKNUM(Table1[[#This Row],[Date]])</f>
        <v>2</v>
      </c>
      <c r="B70" s="35" t="s">
        <v>24</v>
      </c>
      <c r="C70" s="31">
        <v>46031</v>
      </c>
      <c r="D70" s="26" t="s">
        <v>11</v>
      </c>
      <c r="E70" s="22" t="s">
        <v>25</v>
      </c>
      <c r="F70" s="28" t="s">
        <v>131</v>
      </c>
      <c r="G70" s="28" t="s">
        <v>27</v>
      </c>
      <c r="H70" s="24">
        <v>6</v>
      </c>
      <c r="I70" s="24">
        <v>1</v>
      </c>
      <c r="J70" s="28" t="s">
        <v>15</v>
      </c>
      <c r="K70" s="28" t="s">
        <v>349</v>
      </c>
      <c r="L70" s="28" t="s">
        <v>51</v>
      </c>
      <c r="M70" s="28">
        <v>251628</v>
      </c>
      <c r="N70" s="22" t="s">
        <v>166</v>
      </c>
      <c r="O70" s="22"/>
      <c r="P70" s="29" t="s">
        <v>11</v>
      </c>
      <c r="Q70" s="5"/>
    </row>
    <row r="71" spans="1:17" ht="21" x14ac:dyDescent="0.3">
      <c r="A71" s="28">
        <f>WEEKNUM(Table1[[#This Row],[Date]])</f>
        <v>2</v>
      </c>
      <c r="B71" s="35" t="s">
        <v>24</v>
      </c>
      <c r="C71" s="31">
        <v>46031</v>
      </c>
      <c r="D71" s="26" t="s">
        <v>11</v>
      </c>
      <c r="E71" s="22" t="s">
        <v>25</v>
      </c>
      <c r="F71" s="28" t="s">
        <v>122</v>
      </c>
      <c r="G71" s="28" t="s">
        <v>8</v>
      </c>
      <c r="H71" s="24">
        <v>2</v>
      </c>
      <c r="I71" s="24">
        <v>0</v>
      </c>
      <c r="J71" s="28"/>
      <c r="K71" s="28" t="s">
        <v>934</v>
      </c>
      <c r="L71" s="28" t="s">
        <v>934</v>
      </c>
      <c r="M71" s="28"/>
      <c r="N71" s="28" t="s">
        <v>934</v>
      </c>
      <c r="O71" s="22"/>
      <c r="P71" s="29" t="s">
        <v>171</v>
      </c>
      <c r="Q71" s="5"/>
    </row>
    <row r="72" spans="1:17" ht="21" x14ac:dyDescent="0.3">
      <c r="A72" s="28">
        <f>WEEKNUM(Table1[[#This Row],[Date]])</f>
        <v>2</v>
      </c>
      <c r="B72" s="35" t="s">
        <v>24</v>
      </c>
      <c r="C72" s="31">
        <v>46031</v>
      </c>
      <c r="D72" s="26" t="s">
        <v>11</v>
      </c>
      <c r="E72" s="22" t="s">
        <v>25</v>
      </c>
      <c r="F72" s="28" t="s">
        <v>127</v>
      </c>
      <c r="G72" s="28" t="s">
        <v>8</v>
      </c>
      <c r="H72" s="24">
        <v>7</v>
      </c>
      <c r="I72" s="24">
        <v>1</v>
      </c>
      <c r="J72" s="28" t="s">
        <v>17</v>
      </c>
      <c r="K72" s="28" t="s">
        <v>353</v>
      </c>
      <c r="L72" s="28" t="s">
        <v>13</v>
      </c>
      <c r="M72" s="28">
        <v>251629</v>
      </c>
      <c r="N72" s="22" t="s">
        <v>166</v>
      </c>
      <c r="O72" s="22"/>
      <c r="P72" s="29" t="s">
        <v>14</v>
      </c>
      <c r="Q72" s="5"/>
    </row>
    <row r="73" spans="1:17" ht="21" x14ac:dyDescent="0.3">
      <c r="A73" s="28">
        <f>WEEKNUM(Table1[[#This Row],[Date]])</f>
        <v>2</v>
      </c>
      <c r="B73" s="35" t="s">
        <v>24</v>
      </c>
      <c r="C73" s="31">
        <v>46031</v>
      </c>
      <c r="D73" s="26" t="s">
        <v>11</v>
      </c>
      <c r="E73" s="22" t="s">
        <v>25</v>
      </c>
      <c r="F73" s="28" t="s">
        <v>132</v>
      </c>
      <c r="G73" s="28" t="s">
        <v>8</v>
      </c>
      <c r="H73" s="24">
        <v>6</v>
      </c>
      <c r="I73" s="24">
        <v>0</v>
      </c>
      <c r="J73" s="28"/>
      <c r="K73" s="28" t="s">
        <v>934</v>
      </c>
      <c r="L73" s="28" t="s">
        <v>934</v>
      </c>
      <c r="M73" s="28"/>
      <c r="N73" s="28" t="s">
        <v>934</v>
      </c>
      <c r="O73" s="22"/>
      <c r="P73" s="29" t="s">
        <v>171</v>
      </c>
      <c r="Q73" s="5"/>
    </row>
    <row r="74" spans="1:17" ht="36" x14ac:dyDescent="0.3">
      <c r="A74" s="28">
        <f>WEEKNUM(Table1[[#This Row],[Date]])</f>
        <v>2</v>
      </c>
      <c r="B74" s="35" t="s">
        <v>24</v>
      </c>
      <c r="C74" s="31">
        <v>46031</v>
      </c>
      <c r="D74" s="26" t="s">
        <v>11</v>
      </c>
      <c r="E74" s="22" t="s">
        <v>25</v>
      </c>
      <c r="F74" s="28" t="s">
        <v>133</v>
      </c>
      <c r="G74" s="28" t="s">
        <v>27</v>
      </c>
      <c r="H74" s="24">
        <v>18</v>
      </c>
      <c r="I74" s="24">
        <v>1</v>
      </c>
      <c r="J74" s="28" t="s">
        <v>12</v>
      </c>
      <c r="K74" s="28" t="s">
        <v>347</v>
      </c>
      <c r="L74" s="28" t="s">
        <v>28</v>
      </c>
      <c r="M74" s="28">
        <v>251630</v>
      </c>
      <c r="N74" s="22" t="s">
        <v>166</v>
      </c>
      <c r="O74" s="22"/>
      <c r="P74" s="29" t="s">
        <v>11</v>
      </c>
      <c r="Q74" s="5"/>
    </row>
    <row r="75" spans="1:17" ht="21" x14ac:dyDescent="0.3">
      <c r="A75" s="28">
        <f>WEEKNUM(Table1[[#This Row],[Date]])</f>
        <v>2</v>
      </c>
      <c r="B75" s="35" t="s">
        <v>24</v>
      </c>
      <c r="C75" s="31">
        <v>46031</v>
      </c>
      <c r="D75" s="26" t="s">
        <v>11</v>
      </c>
      <c r="E75" s="22" t="s">
        <v>25</v>
      </c>
      <c r="F75" s="28" t="s">
        <v>134</v>
      </c>
      <c r="G75" s="28" t="s">
        <v>8</v>
      </c>
      <c r="H75" s="24">
        <v>7</v>
      </c>
      <c r="I75" s="24">
        <v>1</v>
      </c>
      <c r="J75" s="28" t="s">
        <v>9</v>
      </c>
      <c r="K75" s="28" t="s">
        <v>349</v>
      </c>
      <c r="L75" s="28" t="s">
        <v>13</v>
      </c>
      <c r="M75" s="28">
        <v>251631</v>
      </c>
      <c r="N75" s="22" t="s">
        <v>166</v>
      </c>
      <c r="O75" s="22" t="s">
        <v>247</v>
      </c>
      <c r="P75" s="29" t="s">
        <v>11</v>
      </c>
      <c r="Q75" s="5"/>
    </row>
    <row r="76" spans="1:17" ht="21" x14ac:dyDescent="0.3">
      <c r="A76" s="28">
        <f>WEEKNUM(Table1[[#This Row],[Date]])</f>
        <v>2</v>
      </c>
      <c r="B76" s="35" t="s">
        <v>24</v>
      </c>
      <c r="C76" s="31">
        <v>46031</v>
      </c>
      <c r="D76" s="26" t="s">
        <v>11</v>
      </c>
      <c r="E76" s="22" t="s">
        <v>25</v>
      </c>
      <c r="F76" s="28" t="s">
        <v>135</v>
      </c>
      <c r="G76" s="28" t="s">
        <v>8</v>
      </c>
      <c r="H76" s="24">
        <v>5</v>
      </c>
      <c r="I76" s="24">
        <v>0</v>
      </c>
      <c r="J76" s="28"/>
      <c r="K76" s="28" t="s">
        <v>934</v>
      </c>
      <c r="L76" s="28" t="s">
        <v>934</v>
      </c>
      <c r="M76" s="28"/>
      <c r="N76" s="28" t="s">
        <v>934</v>
      </c>
      <c r="O76" s="22"/>
      <c r="P76" s="29" t="s">
        <v>171</v>
      </c>
      <c r="Q76" s="5"/>
    </row>
    <row r="77" spans="1:17" ht="21" x14ac:dyDescent="0.3">
      <c r="A77" s="28">
        <f>WEEKNUM(Table1[[#This Row],[Date]])</f>
        <v>2</v>
      </c>
      <c r="B77" s="35" t="s">
        <v>24</v>
      </c>
      <c r="C77" s="31">
        <v>46031</v>
      </c>
      <c r="D77" s="26" t="s">
        <v>11</v>
      </c>
      <c r="E77" s="22" t="s">
        <v>25</v>
      </c>
      <c r="F77" s="28" t="s">
        <v>116</v>
      </c>
      <c r="G77" s="28" t="s">
        <v>8</v>
      </c>
      <c r="H77" s="24">
        <v>7</v>
      </c>
      <c r="I77" s="24">
        <v>1</v>
      </c>
      <c r="J77" s="28" t="s">
        <v>12</v>
      </c>
      <c r="K77" s="28" t="s">
        <v>61</v>
      </c>
      <c r="L77" s="28" t="s">
        <v>34</v>
      </c>
      <c r="M77" s="28">
        <v>251632</v>
      </c>
      <c r="N77" s="22" t="s">
        <v>164</v>
      </c>
      <c r="O77" s="22"/>
      <c r="P77" s="29" t="s">
        <v>16</v>
      </c>
      <c r="Q77" s="5"/>
    </row>
    <row r="78" spans="1:17" ht="21" x14ac:dyDescent="0.3">
      <c r="A78" s="28">
        <f>WEEKNUM(Table1[[#This Row],[Date]])</f>
        <v>2</v>
      </c>
      <c r="B78" s="35" t="s">
        <v>24</v>
      </c>
      <c r="C78" s="31">
        <v>46031</v>
      </c>
      <c r="D78" s="26" t="s">
        <v>11</v>
      </c>
      <c r="E78" s="22" t="s">
        <v>18</v>
      </c>
      <c r="F78" s="28" t="s">
        <v>110</v>
      </c>
      <c r="G78" s="28" t="s">
        <v>27</v>
      </c>
      <c r="H78" s="24">
        <v>2</v>
      </c>
      <c r="I78" s="24">
        <v>0</v>
      </c>
      <c r="J78" s="28"/>
      <c r="K78" s="28" t="s">
        <v>934</v>
      </c>
      <c r="L78" s="28" t="s">
        <v>934</v>
      </c>
      <c r="M78" s="28"/>
      <c r="N78" s="28" t="s">
        <v>934</v>
      </c>
      <c r="O78" s="22"/>
      <c r="P78" s="29" t="s">
        <v>171</v>
      </c>
      <c r="Q78" s="5"/>
    </row>
    <row r="79" spans="1:17" ht="21" x14ac:dyDescent="0.3">
      <c r="A79" s="28">
        <f>WEEKNUM(Table1[[#This Row],[Date]])</f>
        <v>2</v>
      </c>
      <c r="B79" s="35" t="s">
        <v>24</v>
      </c>
      <c r="C79" s="31">
        <v>46031</v>
      </c>
      <c r="D79" s="26" t="s">
        <v>11</v>
      </c>
      <c r="E79" s="22" t="s">
        <v>18</v>
      </c>
      <c r="F79" s="28" t="s">
        <v>95</v>
      </c>
      <c r="G79" s="28" t="s">
        <v>27</v>
      </c>
      <c r="H79" s="24">
        <v>18</v>
      </c>
      <c r="I79" s="24">
        <v>0</v>
      </c>
      <c r="J79" s="28"/>
      <c r="K79" s="28" t="s">
        <v>934</v>
      </c>
      <c r="L79" s="28" t="s">
        <v>934</v>
      </c>
      <c r="M79" s="28"/>
      <c r="N79" s="28" t="s">
        <v>934</v>
      </c>
      <c r="O79" s="22"/>
      <c r="P79" s="29" t="s">
        <v>171</v>
      </c>
      <c r="Q79" s="5"/>
    </row>
    <row r="80" spans="1:17" ht="21" x14ac:dyDescent="0.3">
      <c r="A80" s="28">
        <f>WEEKNUM(Table1[[#This Row],[Date]])</f>
        <v>2</v>
      </c>
      <c r="B80" s="35" t="s">
        <v>24</v>
      </c>
      <c r="C80" s="31">
        <v>46031</v>
      </c>
      <c r="D80" s="26" t="s">
        <v>11</v>
      </c>
      <c r="E80" s="22" t="s">
        <v>18</v>
      </c>
      <c r="F80" s="28" t="s">
        <v>106</v>
      </c>
      <c r="G80" s="28" t="s">
        <v>27</v>
      </c>
      <c r="H80" s="24">
        <v>7</v>
      </c>
      <c r="I80" s="24">
        <v>0</v>
      </c>
      <c r="J80" s="28"/>
      <c r="K80" s="28" t="s">
        <v>934</v>
      </c>
      <c r="L80" s="28" t="s">
        <v>934</v>
      </c>
      <c r="M80" s="28"/>
      <c r="N80" s="28" t="s">
        <v>934</v>
      </c>
      <c r="O80" s="22"/>
      <c r="P80" s="29" t="s">
        <v>171</v>
      </c>
      <c r="Q80" s="5"/>
    </row>
    <row r="81" spans="1:17" ht="21" x14ac:dyDescent="0.3">
      <c r="A81" s="28">
        <f>WEEKNUM(Table1[[#This Row],[Date]])</f>
        <v>2</v>
      </c>
      <c r="B81" s="35" t="s">
        <v>24</v>
      </c>
      <c r="C81" s="31">
        <v>46031</v>
      </c>
      <c r="D81" s="26" t="s">
        <v>11</v>
      </c>
      <c r="E81" s="22" t="s">
        <v>18</v>
      </c>
      <c r="F81" s="28" t="s">
        <v>136</v>
      </c>
      <c r="G81" s="28" t="s">
        <v>27</v>
      </c>
      <c r="H81" s="24">
        <v>3</v>
      </c>
      <c r="I81" s="24">
        <v>0</v>
      </c>
      <c r="J81" s="28"/>
      <c r="K81" s="28" t="s">
        <v>934</v>
      </c>
      <c r="L81" s="28" t="s">
        <v>934</v>
      </c>
      <c r="M81" s="28"/>
      <c r="N81" s="28" t="s">
        <v>934</v>
      </c>
      <c r="O81" s="22"/>
      <c r="P81" s="29" t="s">
        <v>171</v>
      </c>
      <c r="Q81" s="5"/>
    </row>
    <row r="82" spans="1:17" ht="21" x14ac:dyDescent="0.3">
      <c r="A82" s="28">
        <f>WEEKNUM(Table1[[#This Row],[Date]])</f>
        <v>2</v>
      </c>
      <c r="B82" s="35" t="s">
        <v>24</v>
      </c>
      <c r="C82" s="31">
        <v>46031</v>
      </c>
      <c r="D82" s="26" t="s">
        <v>11</v>
      </c>
      <c r="E82" s="22" t="s">
        <v>18</v>
      </c>
      <c r="F82" s="28" t="s">
        <v>137</v>
      </c>
      <c r="G82" s="28" t="s">
        <v>8</v>
      </c>
      <c r="H82" s="24">
        <v>6</v>
      </c>
      <c r="I82" s="24">
        <v>1</v>
      </c>
      <c r="J82" s="28" t="s">
        <v>12</v>
      </c>
      <c r="K82" s="28" t="s">
        <v>348</v>
      </c>
      <c r="L82" s="28" t="s">
        <v>19</v>
      </c>
      <c r="M82" s="28">
        <v>251633</v>
      </c>
      <c r="N82" s="22" t="s">
        <v>166</v>
      </c>
      <c r="O82" s="22"/>
      <c r="P82" s="29" t="s">
        <v>11</v>
      </c>
      <c r="Q82" s="5"/>
    </row>
    <row r="83" spans="1:17" ht="21.6" thickBot="1" x14ac:dyDescent="0.35">
      <c r="A83" s="28">
        <f>WEEKNUM(Table1[[#This Row],[Date]])</f>
        <v>2</v>
      </c>
      <c r="B83" s="35" t="s">
        <v>24</v>
      </c>
      <c r="C83" s="31">
        <v>46031</v>
      </c>
      <c r="D83" s="26" t="s">
        <v>11</v>
      </c>
      <c r="E83" s="22" t="s">
        <v>18</v>
      </c>
      <c r="F83" s="28" t="s">
        <v>97</v>
      </c>
      <c r="G83" s="28" t="s">
        <v>27</v>
      </c>
      <c r="H83" s="24">
        <v>42</v>
      </c>
      <c r="I83" s="24">
        <v>0</v>
      </c>
      <c r="J83" s="28"/>
      <c r="K83" s="28" t="s">
        <v>934</v>
      </c>
      <c r="L83" s="28" t="s">
        <v>934</v>
      </c>
      <c r="M83" s="28"/>
      <c r="N83" s="28" t="s">
        <v>934</v>
      </c>
      <c r="O83" s="22"/>
      <c r="P83" s="29" t="s">
        <v>171</v>
      </c>
      <c r="Q83" s="8"/>
    </row>
    <row r="84" spans="1:17" ht="36.6" thickTop="1" x14ac:dyDescent="0.3">
      <c r="A84" s="28">
        <f>WEEKNUM(Table1[[#This Row],[Date]])</f>
        <v>2</v>
      </c>
      <c r="B84" s="35" t="s">
        <v>24</v>
      </c>
      <c r="C84" s="31">
        <v>46027</v>
      </c>
      <c r="D84" s="26" t="s">
        <v>332</v>
      </c>
      <c r="E84" s="22" t="s">
        <v>38</v>
      </c>
      <c r="F84" s="28" t="s">
        <v>57</v>
      </c>
      <c r="G84" s="28" t="s">
        <v>8</v>
      </c>
      <c r="H84" s="24"/>
      <c r="I84" s="24">
        <v>1</v>
      </c>
      <c r="J84" s="28"/>
      <c r="K84" s="28" t="s">
        <v>353</v>
      </c>
      <c r="L84" s="28" t="s">
        <v>346</v>
      </c>
      <c r="M84" s="28">
        <v>202302585</v>
      </c>
      <c r="N84" s="22" t="s">
        <v>166</v>
      </c>
      <c r="O84" s="22" t="s">
        <v>252</v>
      </c>
      <c r="P84" s="29" t="s">
        <v>14</v>
      </c>
      <c r="Q84" s="4"/>
    </row>
    <row r="85" spans="1:17" ht="21" x14ac:dyDescent="0.3">
      <c r="A85" s="28">
        <f>WEEKNUM(Table1[[#This Row],[Date]])</f>
        <v>2</v>
      </c>
      <c r="B85" s="35" t="s">
        <v>24</v>
      </c>
      <c r="C85" s="31">
        <v>46027</v>
      </c>
      <c r="D85" s="26" t="s">
        <v>332</v>
      </c>
      <c r="E85" s="22" t="s">
        <v>38</v>
      </c>
      <c r="F85" s="28" t="s">
        <v>53</v>
      </c>
      <c r="G85" s="28" t="s">
        <v>27</v>
      </c>
      <c r="H85" s="24"/>
      <c r="I85" s="24">
        <v>1</v>
      </c>
      <c r="J85" s="28"/>
      <c r="K85" s="28" t="s">
        <v>350</v>
      </c>
      <c r="L85" s="28" t="s">
        <v>58</v>
      </c>
      <c r="M85" s="28">
        <v>202302586</v>
      </c>
      <c r="N85" s="22" t="s">
        <v>165</v>
      </c>
      <c r="O85" s="22" t="s">
        <v>253</v>
      </c>
      <c r="P85" s="29" t="s">
        <v>46</v>
      </c>
      <c r="Q85" s="5"/>
    </row>
    <row r="86" spans="1:17" ht="21" x14ac:dyDescent="0.3">
      <c r="A86" s="28">
        <f>WEEKNUM(Table1[[#This Row],[Date]])</f>
        <v>2</v>
      </c>
      <c r="B86" s="35" t="s">
        <v>24</v>
      </c>
      <c r="C86" s="31">
        <v>46027</v>
      </c>
      <c r="D86" s="26" t="s">
        <v>332</v>
      </c>
      <c r="E86" s="22" t="s">
        <v>38</v>
      </c>
      <c r="F86" s="28" t="s">
        <v>59</v>
      </c>
      <c r="G86" s="28" t="s">
        <v>27</v>
      </c>
      <c r="H86" s="24"/>
      <c r="I86" s="24">
        <v>1</v>
      </c>
      <c r="J86" s="28"/>
      <c r="K86" s="28" t="s">
        <v>351</v>
      </c>
      <c r="L86" s="28" t="s">
        <v>55</v>
      </c>
      <c r="M86" s="28">
        <v>202302587</v>
      </c>
      <c r="N86" s="22" t="s">
        <v>164</v>
      </c>
      <c r="O86" s="22" t="s">
        <v>254</v>
      </c>
      <c r="P86" s="29" t="s">
        <v>46</v>
      </c>
      <c r="Q86" s="5"/>
    </row>
    <row r="87" spans="1:17" ht="21" x14ac:dyDescent="0.3">
      <c r="A87" s="28">
        <f>WEEKNUM(Table1[[#This Row],[Date]])</f>
        <v>2</v>
      </c>
      <c r="B87" s="35" t="s">
        <v>24</v>
      </c>
      <c r="C87" s="31">
        <v>46028</v>
      </c>
      <c r="D87" s="26" t="s">
        <v>332</v>
      </c>
      <c r="E87" s="22" t="s">
        <v>38</v>
      </c>
      <c r="F87" s="28" t="s">
        <v>60</v>
      </c>
      <c r="G87" s="28" t="s">
        <v>8</v>
      </c>
      <c r="H87" s="24"/>
      <c r="I87" s="24">
        <v>1</v>
      </c>
      <c r="J87" s="28" t="s">
        <v>9</v>
      </c>
      <c r="K87" s="28" t="s">
        <v>349</v>
      </c>
      <c r="L87" s="28" t="s">
        <v>51</v>
      </c>
      <c r="M87" s="28">
        <v>202302588</v>
      </c>
      <c r="N87" s="22" t="s">
        <v>166</v>
      </c>
      <c r="O87" s="22" t="s">
        <v>255</v>
      </c>
      <c r="P87" s="29" t="s">
        <v>11</v>
      </c>
      <c r="Q87" s="5"/>
    </row>
    <row r="88" spans="1:17" ht="21" x14ac:dyDescent="0.3">
      <c r="A88" s="28">
        <f>WEEKNUM(Table1[[#This Row],[Date]])</f>
        <v>2</v>
      </c>
      <c r="B88" s="35" t="s">
        <v>24</v>
      </c>
      <c r="C88" s="31">
        <v>46028</v>
      </c>
      <c r="D88" s="26" t="s">
        <v>332</v>
      </c>
      <c r="E88" s="22" t="s">
        <v>38</v>
      </c>
      <c r="F88" s="28" t="s">
        <v>56</v>
      </c>
      <c r="G88" s="28" t="s">
        <v>8</v>
      </c>
      <c r="H88" s="24"/>
      <c r="I88" s="24">
        <v>1</v>
      </c>
      <c r="J88" s="28" t="s">
        <v>12</v>
      </c>
      <c r="K88" s="28" t="s">
        <v>61</v>
      </c>
      <c r="L88" s="28" t="s">
        <v>61</v>
      </c>
      <c r="M88" s="28">
        <v>202302589</v>
      </c>
      <c r="N88" s="22" t="s">
        <v>166</v>
      </c>
      <c r="O88" s="22" t="s">
        <v>256</v>
      </c>
      <c r="P88" s="29" t="s">
        <v>16</v>
      </c>
      <c r="Q88" s="5"/>
    </row>
    <row r="89" spans="1:17" ht="21" x14ac:dyDescent="0.3">
      <c r="A89" s="28">
        <f>WEEKNUM(Table1[[#This Row],[Date]])</f>
        <v>2</v>
      </c>
      <c r="B89" s="35" t="s">
        <v>24</v>
      </c>
      <c r="C89" s="31">
        <v>46028</v>
      </c>
      <c r="D89" s="26" t="s">
        <v>286</v>
      </c>
      <c r="E89" s="22" t="s">
        <v>38</v>
      </c>
      <c r="F89" s="28" t="s">
        <v>48</v>
      </c>
      <c r="G89" s="28" t="s">
        <v>27</v>
      </c>
      <c r="H89" s="24"/>
      <c r="I89" s="24">
        <v>1</v>
      </c>
      <c r="J89" s="28" t="s">
        <v>9</v>
      </c>
      <c r="K89" s="28" t="s">
        <v>49</v>
      </c>
      <c r="L89" s="28" t="s">
        <v>49</v>
      </c>
      <c r="M89" s="28">
        <v>202302590</v>
      </c>
      <c r="N89" s="22" t="s">
        <v>164</v>
      </c>
      <c r="O89" s="22" t="s">
        <v>257</v>
      </c>
      <c r="P89" s="29" t="s">
        <v>46</v>
      </c>
      <c r="Q89" s="5"/>
    </row>
    <row r="90" spans="1:17" ht="21" x14ac:dyDescent="0.3">
      <c r="A90" s="28">
        <f>WEEKNUM(Table1[[#This Row],[Date]])</f>
        <v>2</v>
      </c>
      <c r="B90" s="35" t="s">
        <v>24</v>
      </c>
      <c r="C90" s="31">
        <v>46029</v>
      </c>
      <c r="D90" s="26" t="s">
        <v>332</v>
      </c>
      <c r="E90" s="22" t="s">
        <v>38</v>
      </c>
      <c r="F90" s="28" t="s">
        <v>60</v>
      </c>
      <c r="G90" s="28" t="s">
        <v>8</v>
      </c>
      <c r="H90" s="24"/>
      <c r="I90" s="24">
        <v>1</v>
      </c>
      <c r="J90" s="28"/>
      <c r="K90" s="28" t="s">
        <v>351</v>
      </c>
      <c r="L90" s="28" t="s">
        <v>159</v>
      </c>
      <c r="M90" s="28">
        <v>202302591</v>
      </c>
      <c r="N90" s="22" t="s">
        <v>164</v>
      </c>
      <c r="O90" s="22" t="s">
        <v>258</v>
      </c>
      <c r="P90" s="29" t="s">
        <v>11</v>
      </c>
      <c r="Q90" s="5"/>
    </row>
    <row r="91" spans="1:17" ht="21" x14ac:dyDescent="0.3">
      <c r="A91" s="28">
        <f>WEEKNUM(Table1[[#This Row],[Date]])</f>
        <v>2</v>
      </c>
      <c r="B91" s="35" t="s">
        <v>24</v>
      </c>
      <c r="C91" s="31">
        <v>46029</v>
      </c>
      <c r="D91" s="26" t="s">
        <v>332</v>
      </c>
      <c r="E91" s="22" t="s">
        <v>38</v>
      </c>
      <c r="F91" s="28" t="s">
        <v>62</v>
      </c>
      <c r="G91" s="28" t="s">
        <v>8</v>
      </c>
      <c r="H91" s="24"/>
      <c r="I91" s="24">
        <v>1</v>
      </c>
      <c r="J91" s="28"/>
      <c r="K91" s="28" t="s">
        <v>351</v>
      </c>
      <c r="L91" s="28" t="s">
        <v>55</v>
      </c>
      <c r="M91" s="28">
        <v>202302592</v>
      </c>
      <c r="N91" s="22" t="s">
        <v>164</v>
      </c>
      <c r="O91" s="22" t="s">
        <v>259</v>
      </c>
      <c r="P91" s="29" t="s">
        <v>46</v>
      </c>
      <c r="Q91" s="5"/>
    </row>
    <row r="92" spans="1:17" ht="21" x14ac:dyDescent="0.3">
      <c r="A92" s="28">
        <f>WEEKNUM(Table1[[#This Row],[Date]])</f>
        <v>2</v>
      </c>
      <c r="B92" s="35" t="s">
        <v>24</v>
      </c>
      <c r="C92" s="31">
        <v>46030</v>
      </c>
      <c r="D92" s="26" t="s">
        <v>332</v>
      </c>
      <c r="E92" s="22" t="s">
        <v>38</v>
      </c>
      <c r="F92" s="28" t="s">
        <v>138</v>
      </c>
      <c r="G92" s="28" t="s">
        <v>8</v>
      </c>
      <c r="H92" s="24"/>
      <c r="I92" s="24">
        <v>1</v>
      </c>
      <c r="J92" s="28" t="s">
        <v>17</v>
      </c>
      <c r="K92" s="28" t="s">
        <v>61</v>
      </c>
      <c r="L92" s="28" t="s">
        <v>42</v>
      </c>
      <c r="M92" s="28">
        <v>202302593</v>
      </c>
      <c r="N92" s="22" t="s">
        <v>166</v>
      </c>
      <c r="O92" s="22" t="s">
        <v>260</v>
      </c>
      <c r="P92" s="29" t="s">
        <v>16</v>
      </c>
    </row>
    <row r="93" spans="1:17" ht="21" x14ac:dyDescent="0.3">
      <c r="A93" s="28">
        <f>WEEKNUM(Table1[[#This Row],[Date]])</f>
        <v>2</v>
      </c>
      <c r="B93" s="35" t="s">
        <v>24</v>
      </c>
      <c r="C93" s="31">
        <v>46031</v>
      </c>
      <c r="D93" s="26" t="s">
        <v>332</v>
      </c>
      <c r="E93" s="22" t="s">
        <v>38</v>
      </c>
      <c r="F93" s="28" t="s">
        <v>139</v>
      </c>
      <c r="G93" s="28" t="s">
        <v>8</v>
      </c>
      <c r="H93" s="24"/>
      <c r="I93" s="24">
        <v>1</v>
      </c>
      <c r="J93" s="28" t="s">
        <v>9</v>
      </c>
      <c r="K93" s="28" t="s">
        <v>349</v>
      </c>
      <c r="L93" s="28" t="s">
        <v>10</v>
      </c>
      <c r="M93" s="28">
        <v>202302594</v>
      </c>
      <c r="N93" s="22" t="s">
        <v>166</v>
      </c>
      <c r="O93" s="22" t="s">
        <v>261</v>
      </c>
      <c r="P93" s="29" t="s">
        <v>11</v>
      </c>
    </row>
    <row r="94" spans="1:17" ht="31.2" x14ac:dyDescent="0.3">
      <c r="A94" s="28">
        <f>WEEKNUM(Table1[[#This Row],[Date]])</f>
        <v>2</v>
      </c>
      <c r="B94" s="35" t="s">
        <v>24</v>
      </c>
      <c r="C94" s="31">
        <v>46031</v>
      </c>
      <c r="D94" s="26" t="s">
        <v>332</v>
      </c>
      <c r="E94" s="22" t="s">
        <v>38</v>
      </c>
      <c r="F94" s="28" t="s">
        <v>84</v>
      </c>
      <c r="G94" s="28" t="s">
        <v>27</v>
      </c>
      <c r="H94" s="24"/>
      <c r="I94" s="24">
        <v>1</v>
      </c>
      <c r="J94" s="28"/>
      <c r="K94" s="28" t="s">
        <v>350</v>
      </c>
      <c r="L94" s="28" t="s">
        <v>58</v>
      </c>
      <c r="M94" s="28">
        <v>202302595</v>
      </c>
      <c r="N94" s="22" t="s">
        <v>165</v>
      </c>
      <c r="O94" s="22" t="s">
        <v>262</v>
      </c>
      <c r="P94" s="29" t="s">
        <v>46</v>
      </c>
    </row>
    <row r="95" spans="1:17" ht="21" x14ac:dyDescent="0.3">
      <c r="A95" s="28">
        <f>WEEKNUM(Table1[[#This Row],[Date]])</f>
        <v>2</v>
      </c>
      <c r="B95" s="35" t="s">
        <v>24</v>
      </c>
      <c r="C95" s="31">
        <v>46031</v>
      </c>
      <c r="D95" s="26" t="s">
        <v>332</v>
      </c>
      <c r="E95" s="22" t="s">
        <v>38</v>
      </c>
      <c r="F95" s="28" t="s">
        <v>128</v>
      </c>
      <c r="G95" s="28" t="s">
        <v>8</v>
      </c>
      <c r="H95" s="24"/>
      <c r="I95" s="24">
        <v>1</v>
      </c>
      <c r="J95" s="28" t="s">
        <v>17</v>
      </c>
      <c r="K95" s="28" t="s">
        <v>353</v>
      </c>
      <c r="L95" s="28" t="s">
        <v>39</v>
      </c>
      <c r="M95" s="28">
        <v>202302596</v>
      </c>
      <c r="N95" s="22" t="s">
        <v>166</v>
      </c>
      <c r="O95" s="22" t="s">
        <v>263</v>
      </c>
      <c r="P95" s="29" t="s">
        <v>14</v>
      </c>
    </row>
    <row r="96" spans="1:17" ht="21" x14ac:dyDescent="0.3">
      <c r="A96" s="28">
        <f>WEEKNUM(Table1[[#This Row],[Date]])</f>
        <v>2</v>
      </c>
      <c r="B96" s="35" t="s">
        <v>24</v>
      </c>
      <c r="C96" s="31">
        <v>46031</v>
      </c>
      <c r="D96" s="26" t="s">
        <v>332</v>
      </c>
      <c r="E96" s="22" t="s">
        <v>38</v>
      </c>
      <c r="F96" s="28" t="s">
        <v>140</v>
      </c>
      <c r="G96" s="28" t="s">
        <v>27</v>
      </c>
      <c r="H96" s="24"/>
      <c r="I96" s="24">
        <v>1</v>
      </c>
      <c r="J96" s="28" t="s">
        <v>170</v>
      </c>
      <c r="K96" s="28" t="s">
        <v>351</v>
      </c>
      <c r="L96" s="28" t="s">
        <v>55</v>
      </c>
      <c r="M96" s="28">
        <v>202302597</v>
      </c>
      <c r="N96" s="22" t="s">
        <v>165</v>
      </c>
      <c r="O96" s="22" t="s">
        <v>264</v>
      </c>
      <c r="P96" s="29" t="s">
        <v>46</v>
      </c>
    </row>
    <row r="97" spans="1:16" ht="21" x14ac:dyDescent="0.3">
      <c r="A97" s="28">
        <f>WEEKNUM(Table1[[#This Row],[Date]])</f>
        <v>2</v>
      </c>
      <c r="B97" s="35" t="s">
        <v>24</v>
      </c>
      <c r="C97" s="31">
        <v>46031</v>
      </c>
      <c r="D97" s="26" t="s">
        <v>332</v>
      </c>
      <c r="E97" s="22" t="s">
        <v>38</v>
      </c>
      <c r="F97" s="28" t="s">
        <v>140</v>
      </c>
      <c r="G97" s="28" t="s">
        <v>27</v>
      </c>
      <c r="H97" s="24"/>
      <c r="I97" s="24">
        <v>1</v>
      </c>
      <c r="J97" s="28" t="s">
        <v>167</v>
      </c>
      <c r="K97" s="28" t="s">
        <v>349</v>
      </c>
      <c r="L97" s="28" t="s">
        <v>21</v>
      </c>
      <c r="M97" s="28">
        <v>202302598</v>
      </c>
      <c r="N97" s="22" t="s">
        <v>166</v>
      </c>
      <c r="O97" s="22" t="s">
        <v>265</v>
      </c>
      <c r="P97" s="29" t="s">
        <v>11</v>
      </c>
    </row>
    <row r="98" spans="1:16" ht="21" x14ac:dyDescent="0.3">
      <c r="A98" s="28">
        <f>WEEKNUM(Table1[[#This Row],[Date]])</f>
        <v>2</v>
      </c>
      <c r="B98" s="35" t="s">
        <v>24</v>
      </c>
      <c r="C98" s="31">
        <v>46031</v>
      </c>
      <c r="D98" s="26" t="s">
        <v>332</v>
      </c>
      <c r="E98" s="22" t="s">
        <v>38</v>
      </c>
      <c r="F98" s="28" t="s">
        <v>134</v>
      </c>
      <c r="G98" s="28" t="s">
        <v>8</v>
      </c>
      <c r="H98" s="24"/>
      <c r="I98" s="24">
        <v>1</v>
      </c>
      <c r="J98" s="28" t="s">
        <v>15</v>
      </c>
      <c r="K98" s="28" t="s">
        <v>353</v>
      </c>
      <c r="L98" s="28" t="s">
        <v>13</v>
      </c>
      <c r="M98" s="28">
        <v>202302599</v>
      </c>
      <c r="N98" s="22" t="s">
        <v>166</v>
      </c>
      <c r="O98" s="22" t="s">
        <v>266</v>
      </c>
      <c r="P98" s="29" t="s">
        <v>14</v>
      </c>
    </row>
    <row r="99" spans="1:16" ht="21" x14ac:dyDescent="0.3">
      <c r="A99" s="28">
        <f>WEEKNUM(Table1[[#This Row],[Date]])</f>
        <v>2</v>
      </c>
      <c r="B99" s="35" t="s">
        <v>24</v>
      </c>
      <c r="C99" s="31">
        <v>46031</v>
      </c>
      <c r="D99" s="26" t="s">
        <v>332</v>
      </c>
      <c r="E99" s="22" t="s">
        <v>38</v>
      </c>
      <c r="F99" s="28" t="s">
        <v>141</v>
      </c>
      <c r="G99" s="28" t="s">
        <v>8</v>
      </c>
      <c r="H99" s="24"/>
      <c r="I99" s="24">
        <v>1</v>
      </c>
      <c r="J99" s="28" t="s">
        <v>17</v>
      </c>
      <c r="K99" s="28" t="s">
        <v>353</v>
      </c>
      <c r="L99" s="28" t="s">
        <v>47</v>
      </c>
      <c r="M99" s="28">
        <v>202302600</v>
      </c>
      <c r="N99" s="22" t="s">
        <v>164</v>
      </c>
      <c r="O99" s="22" t="s">
        <v>267</v>
      </c>
      <c r="P99" s="29" t="s">
        <v>14</v>
      </c>
    </row>
    <row r="100" spans="1:16" ht="21" x14ac:dyDescent="0.3">
      <c r="A100" s="28">
        <f>WEEKNUM(Table1[[#This Row],[Date]])</f>
        <v>3</v>
      </c>
      <c r="B100" s="35" t="s">
        <v>24</v>
      </c>
      <c r="C100" s="31">
        <v>46034</v>
      </c>
      <c r="D100" s="26" t="s">
        <v>332</v>
      </c>
      <c r="E100" s="22" t="s">
        <v>38</v>
      </c>
      <c r="F100" s="28" t="s">
        <v>123</v>
      </c>
      <c r="G100" s="28" t="s">
        <v>27</v>
      </c>
      <c r="H100" s="24"/>
      <c r="I100" s="24">
        <v>1</v>
      </c>
      <c r="J100" s="28" t="s">
        <v>168</v>
      </c>
      <c r="K100" s="28" t="s">
        <v>349</v>
      </c>
      <c r="L100" s="28" t="s">
        <v>83</v>
      </c>
      <c r="M100" s="28">
        <v>202302601</v>
      </c>
      <c r="N100" s="22" t="s">
        <v>166</v>
      </c>
      <c r="O100" s="22" t="s">
        <v>268</v>
      </c>
      <c r="P100" s="29" t="s">
        <v>11</v>
      </c>
    </row>
    <row r="101" spans="1:16" ht="21" x14ac:dyDescent="0.3">
      <c r="A101" s="28">
        <f>WEEKNUM(Table1[[#This Row],[Date]])</f>
        <v>3</v>
      </c>
      <c r="B101" s="35" t="s">
        <v>24</v>
      </c>
      <c r="C101" s="31">
        <v>46034</v>
      </c>
      <c r="D101" s="26" t="s">
        <v>332</v>
      </c>
      <c r="E101" s="22" t="s">
        <v>38</v>
      </c>
      <c r="F101" s="28" t="s">
        <v>127</v>
      </c>
      <c r="G101" s="28" t="s">
        <v>8</v>
      </c>
      <c r="H101" s="24"/>
      <c r="I101" s="24">
        <v>1</v>
      </c>
      <c r="J101" s="28"/>
      <c r="K101" s="28" t="s">
        <v>351</v>
      </c>
      <c r="L101" s="28" t="s">
        <v>55</v>
      </c>
      <c r="M101" s="28">
        <v>202302602</v>
      </c>
      <c r="N101" s="22" t="s">
        <v>164</v>
      </c>
      <c r="O101" s="22" t="s">
        <v>269</v>
      </c>
      <c r="P101" s="29" t="s">
        <v>46</v>
      </c>
    </row>
    <row r="102" spans="1:16" ht="21" x14ac:dyDescent="0.3">
      <c r="A102" s="28">
        <f>WEEKNUM(Table1[[#This Row],[Date]])</f>
        <v>3</v>
      </c>
      <c r="B102" s="35" t="s">
        <v>24</v>
      </c>
      <c r="C102" s="31">
        <v>46034</v>
      </c>
      <c r="D102" s="26" t="s">
        <v>332</v>
      </c>
      <c r="E102" s="22" t="s">
        <v>38</v>
      </c>
      <c r="F102" s="28" t="s">
        <v>151</v>
      </c>
      <c r="G102" s="28" t="s">
        <v>27</v>
      </c>
      <c r="H102" s="24"/>
      <c r="I102" s="24">
        <v>1</v>
      </c>
      <c r="J102" s="28" t="s">
        <v>9</v>
      </c>
      <c r="K102" s="28" t="s">
        <v>350</v>
      </c>
      <c r="L102" s="28" t="s">
        <v>152</v>
      </c>
      <c r="M102" s="28">
        <v>202302603</v>
      </c>
      <c r="N102" s="22" t="s">
        <v>169</v>
      </c>
      <c r="O102" s="22" t="s">
        <v>270</v>
      </c>
      <c r="P102" s="29" t="s">
        <v>11</v>
      </c>
    </row>
    <row r="103" spans="1:16" ht="21" x14ac:dyDescent="0.3">
      <c r="A103" s="28">
        <f>WEEKNUM(Table1[[#This Row],[Date]])</f>
        <v>3</v>
      </c>
      <c r="B103" s="35" t="s">
        <v>24</v>
      </c>
      <c r="C103" s="31">
        <v>46034</v>
      </c>
      <c r="D103" s="26" t="s">
        <v>11</v>
      </c>
      <c r="E103" s="22" t="s">
        <v>25</v>
      </c>
      <c r="F103" s="28" t="s">
        <v>116</v>
      </c>
      <c r="G103" s="28" t="s">
        <v>8</v>
      </c>
      <c r="H103" s="24">
        <v>7</v>
      </c>
      <c r="I103" s="24">
        <v>0</v>
      </c>
      <c r="J103" s="28"/>
      <c r="K103" s="28" t="s">
        <v>934</v>
      </c>
      <c r="L103" s="28" t="s">
        <v>934</v>
      </c>
      <c r="M103" s="28"/>
      <c r="N103" s="28" t="s">
        <v>934</v>
      </c>
      <c r="O103" s="22"/>
      <c r="P103" s="29" t="s">
        <v>171</v>
      </c>
    </row>
    <row r="104" spans="1:16" ht="21" x14ac:dyDescent="0.3">
      <c r="A104" s="28">
        <f>WEEKNUM(Table1[[#This Row],[Date]])</f>
        <v>3</v>
      </c>
      <c r="B104" s="35" t="s">
        <v>24</v>
      </c>
      <c r="C104" s="31">
        <v>46034</v>
      </c>
      <c r="D104" s="26" t="s">
        <v>11</v>
      </c>
      <c r="E104" s="22" t="s">
        <v>18</v>
      </c>
      <c r="F104" s="28" t="s">
        <v>153</v>
      </c>
      <c r="G104" s="28" t="s">
        <v>8</v>
      </c>
      <c r="H104" s="24">
        <v>6</v>
      </c>
      <c r="I104" s="24">
        <v>0</v>
      </c>
      <c r="J104" s="28"/>
      <c r="K104" s="28" t="s">
        <v>934</v>
      </c>
      <c r="L104" s="28" t="s">
        <v>934</v>
      </c>
      <c r="M104" s="28"/>
      <c r="N104" s="28" t="s">
        <v>934</v>
      </c>
      <c r="O104" s="22"/>
      <c r="P104" s="29" t="s">
        <v>171</v>
      </c>
    </row>
    <row r="105" spans="1:16" ht="21" x14ac:dyDescent="0.3">
      <c r="A105" s="28">
        <f>WEEKNUM(Table1[[#This Row],[Date]])</f>
        <v>3</v>
      </c>
      <c r="B105" s="35" t="s">
        <v>24</v>
      </c>
      <c r="C105" s="31">
        <v>46034</v>
      </c>
      <c r="D105" s="26" t="s">
        <v>11</v>
      </c>
      <c r="E105" s="22" t="s">
        <v>18</v>
      </c>
      <c r="F105" s="28" t="s">
        <v>107</v>
      </c>
      <c r="G105" s="28" t="s">
        <v>27</v>
      </c>
      <c r="H105" s="24">
        <v>38</v>
      </c>
      <c r="I105" s="24">
        <v>1</v>
      </c>
      <c r="J105" s="28" t="s">
        <v>12</v>
      </c>
      <c r="K105" s="28" t="s">
        <v>353</v>
      </c>
      <c r="L105" s="28" t="s">
        <v>13</v>
      </c>
      <c r="M105" s="28"/>
      <c r="N105" s="22" t="s">
        <v>166</v>
      </c>
      <c r="O105" s="22" t="s">
        <v>248</v>
      </c>
      <c r="P105" s="29" t="s">
        <v>14</v>
      </c>
    </row>
    <row r="106" spans="1:16" ht="21" x14ac:dyDescent="0.3">
      <c r="A106" s="28">
        <f>WEEKNUM(Table1[[#This Row],[Date]])</f>
        <v>3</v>
      </c>
      <c r="B106" s="35" t="s">
        <v>24</v>
      </c>
      <c r="C106" s="31">
        <v>46034</v>
      </c>
      <c r="D106" s="26" t="s">
        <v>11</v>
      </c>
      <c r="E106" s="22" t="s">
        <v>18</v>
      </c>
      <c r="F106" s="28" t="s">
        <v>154</v>
      </c>
      <c r="G106" s="28" t="s">
        <v>27</v>
      </c>
      <c r="H106" s="24">
        <v>20</v>
      </c>
      <c r="I106" s="24">
        <v>1</v>
      </c>
      <c r="J106" s="28" t="s">
        <v>12</v>
      </c>
      <c r="K106" s="28" t="s">
        <v>349</v>
      </c>
      <c r="L106" s="28" t="s">
        <v>13</v>
      </c>
      <c r="M106" s="28">
        <v>251634</v>
      </c>
      <c r="N106" s="22" t="s">
        <v>166</v>
      </c>
      <c r="O106" s="22"/>
      <c r="P106" s="29" t="s">
        <v>11</v>
      </c>
    </row>
    <row r="107" spans="1:16" ht="21" x14ac:dyDescent="0.3">
      <c r="A107" s="28">
        <f>WEEKNUM(Table1[[#This Row],[Date]])</f>
        <v>3</v>
      </c>
      <c r="B107" s="35" t="s">
        <v>24</v>
      </c>
      <c r="C107" s="31">
        <v>46034</v>
      </c>
      <c r="D107" s="26" t="s">
        <v>11</v>
      </c>
      <c r="E107" s="22" t="s">
        <v>18</v>
      </c>
      <c r="F107" s="28" t="s">
        <v>127</v>
      </c>
      <c r="G107" s="28" t="s">
        <v>8</v>
      </c>
      <c r="H107" s="24">
        <v>38</v>
      </c>
      <c r="I107" s="24">
        <v>1</v>
      </c>
      <c r="J107" s="28"/>
      <c r="K107" s="28" t="s">
        <v>740</v>
      </c>
      <c r="L107" s="28" t="s">
        <v>249</v>
      </c>
      <c r="M107" s="28"/>
      <c r="N107" s="22" t="s">
        <v>169</v>
      </c>
      <c r="O107" s="22" t="s">
        <v>249</v>
      </c>
      <c r="P107" s="29" t="s">
        <v>11</v>
      </c>
    </row>
    <row r="108" spans="1:16" ht="21" x14ac:dyDescent="0.3">
      <c r="A108" s="28">
        <f>WEEKNUM(Table1[[#This Row],[Date]])</f>
        <v>3</v>
      </c>
      <c r="B108" s="35" t="s">
        <v>24</v>
      </c>
      <c r="C108" s="31">
        <v>46034</v>
      </c>
      <c r="D108" s="26" t="s">
        <v>11</v>
      </c>
      <c r="E108" s="22" t="s">
        <v>18</v>
      </c>
      <c r="F108" s="28" t="s">
        <v>155</v>
      </c>
      <c r="G108" s="28" t="s">
        <v>27</v>
      </c>
      <c r="H108" s="24">
        <v>31</v>
      </c>
      <c r="I108" s="24">
        <v>1</v>
      </c>
      <c r="J108" s="28" t="s">
        <v>12</v>
      </c>
      <c r="K108" s="28" t="s">
        <v>740</v>
      </c>
      <c r="L108" s="28" t="s">
        <v>36</v>
      </c>
      <c r="M108" s="28">
        <v>251635</v>
      </c>
      <c r="N108" s="22" t="s">
        <v>165</v>
      </c>
      <c r="O108" s="22" t="s">
        <v>242</v>
      </c>
      <c r="P108" s="29" t="s">
        <v>11</v>
      </c>
    </row>
    <row r="109" spans="1:16" ht="21" x14ac:dyDescent="0.3">
      <c r="A109" s="28">
        <f>WEEKNUM(Table1[[#This Row],[Date]])</f>
        <v>3</v>
      </c>
      <c r="B109" s="35" t="s">
        <v>24</v>
      </c>
      <c r="C109" s="31">
        <v>46034</v>
      </c>
      <c r="D109" s="26" t="s">
        <v>11</v>
      </c>
      <c r="E109" s="22" t="s">
        <v>18</v>
      </c>
      <c r="F109" s="28" t="s">
        <v>156</v>
      </c>
      <c r="G109" s="28" t="s">
        <v>27</v>
      </c>
      <c r="H109" s="24">
        <v>12</v>
      </c>
      <c r="I109" s="24">
        <v>1</v>
      </c>
      <c r="J109" s="28" t="s">
        <v>157</v>
      </c>
      <c r="K109" s="28" t="s">
        <v>740</v>
      </c>
      <c r="L109" s="28" t="s">
        <v>35</v>
      </c>
      <c r="M109" s="28">
        <v>251636</v>
      </c>
      <c r="N109" s="22" t="s">
        <v>166</v>
      </c>
      <c r="O109" s="22" t="s">
        <v>250</v>
      </c>
      <c r="P109" s="29" t="s">
        <v>11</v>
      </c>
    </row>
    <row r="110" spans="1:16" ht="21" x14ac:dyDescent="0.3">
      <c r="A110" s="28">
        <f>WEEKNUM(Table1[[#This Row],[Date]])</f>
        <v>3</v>
      </c>
      <c r="B110" s="35" t="s">
        <v>24</v>
      </c>
      <c r="C110" s="31">
        <v>46034</v>
      </c>
      <c r="D110" s="26" t="s">
        <v>11</v>
      </c>
      <c r="E110" s="22" t="s">
        <v>18</v>
      </c>
      <c r="F110" s="28" t="s">
        <v>95</v>
      </c>
      <c r="G110" s="28" t="s">
        <v>27</v>
      </c>
      <c r="H110" s="24">
        <v>1</v>
      </c>
      <c r="I110" s="24">
        <v>1</v>
      </c>
      <c r="J110" s="28" t="s">
        <v>158</v>
      </c>
      <c r="K110" s="28" t="s">
        <v>351</v>
      </c>
      <c r="L110" s="28" t="s">
        <v>159</v>
      </c>
      <c r="M110" s="28">
        <v>251637</v>
      </c>
      <c r="N110" s="22" t="s">
        <v>169</v>
      </c>
      <c r="O110" s="22" t="s">
        <v>251</v>
      </c>
      <c r="P110" s="29" t="s">
        <v>11</v>
      </c>
    </row>
    <row r="111" spans="1:16" ht="21" x14ac:dyDescent="0.3">
      <c r="A111" s="28">
        <f>WEEKNUM(Table1[[#This Row],[Date]])</f>
        <v>3</v>
      </c>
      <c r="B111" s="35" t="s">
        <v>24</v>
      </c>
      <c r="C111" s="31">
        <v>46034</v>
      </c>
      <c r="D111" s="26" t="s">
        <v>11</v>
      </c>
      <c r="E111" s="22" t="s">
        <v>25</v>
      </c>
      <c r="F111" s="28" t="s">
        <v>160</v>
      </c>
      <c r="G111" s="28" t="s">
        <v>27</v>
      </c>
      <c r="H111" s="24">
        <v>21</v>
      </c>
      <c r="I111" s="24">
        <v>1</v>
      </c>
      <c r="J111" s="28" t="s">
        <v>9</v>
      </c>
      <c r="K111" s="28" t="s">
        <v>349</v>
      </c>
      <c r="L111" s="28" t="s">
        <v>45</v>
      </c>
      <c r="M111" s="28">
        <v>251638</v>
      </c>
      <c r="N111" s="22" t="s">
        <v>166</v>
      </c>
      <c r="O111" s="22" t="s">
        <v>161</v>
      </c>
      <c r="P111" s="29" t="s">
        <v>11</v>
      </c>
    </row>
    <row r="112" spans="1:16" ht="21" x14ac:dyDescent="0.3">
      <c r="A112" s="28">
        <f>WEEKNUM(Table1[[#This Row],[Date]])</f>
        <v>3</v>
      </c>
      <c r="B112" s="35" t="s">
        <v>24</v>
      </c>
      <c r="C112" s="31">
        <v>46034</v>
      </c>
      <c r="D112" s="26" t="s">
        <v>11</v>
      </c>
      <c r="E112" s="22" t="s">
        <v>25</v>
      </c>
      <c r="F112" s="28" t="s">
        <v>160</v>
      </c>
      <c r="G112" s="28" t="s">
        <v>27</v>
      </c>
      <c r="H112" s="24">
        <v>21</v>
      </c>
      <c r="I112" s="24">
        <v>1</v>
      </c>
      <c r="J112" s="28" t="s">
        <v>12</v>
      </c>
      <c r="K112" s="28" t="s">
        <v>349</v>
      </c>
      <c r="L112" s="28" t="s">
        <v>13</v>
      </c>
      <c r="M112" s="28">
        <v>251639</v>
      </c>
      <c r="N112" s="22" t="s">
        <v>166</v>
      </c>
      <c r="O112" s="22"/>
      <c r="P112" s="29" t="s">
        <v>11</v>
      </c>
    </row>
    <row r="113" spans="1:16" ht="21" x14ac:dyDescent="0.3">
      <c r="A113" s="28">
        <f>WEEKNUM(Table1[[#This Row],[Date]])</f>
        <v>3</v>
      </c>
      <c r="B113" s="35" t="s">
        <v>24</v>
      </c>
      <c r="C113" s="31">
        <v>46034</v>
      </c>
      <c r="D113" s="26" t="s">
        <v>11</v>
      </c>
      <c r="E113" s="22" t="s">
        <v>25</v>
      </c>
      <c r="F113" s="28" t="s">
        <v>162</v>
      </c>
      <c r="G113" s="28" t="s">
        <v>27</v>
      </c>
      <c r="H113" s="24">
        <v>32</v>
      </c>
      <c r="I113" s="24">
        <v>0</v>
      </c>
      <c r="J113" s="28"/>
      <c r="K113" s="28" t="s">
        <v>934</v>
      </c>
      <c r="L113" s="28" t="s">
        <v>934</v>
      </c>
      <c r="M113" s="28"/>
      <c r="N113" s="28" t="s">
        <v>934</v>
      </c>
      <c r="O113" s="22"/>
      <c r="P113" s="29" t="s">
        <v>171</v>
      </c>
    </row>
    <row r="114" spans="1:16" ht="21" x14ac:dyDescent="0.3">
      <c r="A114" s="28">
        <f>WEEKNUM(Table1[[#This Row],[Date]])</f>
        <v>3</v>
      </c>
      <c r="B114" s="35" t="s">
        <v>24</v>
      </c>
      <c r="C114" s="31">
        <v>46034</v>
      </c>
      <c r="D114" s="26" t="s">
        <v>11</v>
      </c>
      <c r="E114" s="22" t="s">
        <v>25</v>
      </c>
      <c r="F114" s="28" t="s">
        <v>163</v>
      </c>
      <c r="G114" s="28" t="s">
        <v>8</v>
      </c>
      <c r="H114" s="24">
        <v>6</v>
      </c>
      <c r="I114" s="24">
        <v>0</v>
      </c>
      <c r="J114" s="28"/>
      <c r="K114" s="28" t="s">
        <v>934</v>
      </c>
      <c r="L114" s="28" t="s">
        <v>934</v>
      </c>
      <c r="M114" s="28"/>
      <c r="N114" s="28" t="s">
        <v>934</v>
      </c>
      <c r="O114" s="22"/>
      <c r="P114" s="29" t="s">
        <v>171</v>
      </c>
    </row>
    <row r="115" spans="1:16" ht="21" x14ac:dyDescent="0.3">
      <c r="A115" s="28">
        <f>WEEKNUM(Table1[[#This Row],[Date]])</f>
        <v>3</v>
      </c>
      <c r="B115" s="35" t="s">
        <v>24</v>
      </c>
      <c r="C115" s="31">
        <v>46035</v>
      </c>
      <c r="D115" s="26" t="s">
        <v>332</v>
      </c>
      <c r="E115" s="22" t="s">
        <v>38</v>
      </c>
      <c r="F115" s="28" t="s">
        <v>134</v>
      </c>
      <c r="G115" s="28" t="s">
        <v>8</v>
      </c>
      <c r="H115" s="24"/>
      <c r="I115" s="24">
        <v>1</v>
      </c>
      <c r="J115" s="28" t="s">
        <v>253</v>
      </c>
      <c r="K115" s="28" t="s">
        <v>351</v>
      </c>
      <c r="L115" s="28" t="s">
        <v>55</v>
      </c>
      <c r="M115" s="28">
        <v>202302604</v>
      </c>
      <c r="N115" s="22" t="s">
        <v>165</v>
      </c>
      <c r="O115" s="22" t="s">
        <v>179</v>
      </c>
      <c r="P115" s="29" t="s">
        <v>46</v>
      </c>
    </row>
    <row r="116" spans="1:16" ht="21" x14ac:dyDescent="0.3">
      <c r="A116" s="28">
        <f>WEEKNUM(Table1[[#This Row],[Date]])</f>
        <v>3</v>
      </c>
      <c r="B116" s="35" t="s">
        <v>24</v>
      </c>
      <c r="C116" s="31">
        <v>46035</v>
      </c>
      <c r="D116" s="26" t="s">
        <v>332</v>
      </c>
      <c r="E116" s="22" t="s">
        <v>38</v>
      </c>
      <c r="F116" s="28" t="s">
        <v>56</v>
      </c>
      <c r="G116" s="28" t="s">
        <v>8</v>
      </c>
      <c r="H116" s="24"/>
      <c r="I116" s="24">
        <v>1</v>
      </c>
      <c r="J116" s="28" t="s">
        <v>15</v>
      </c>
      <c r="K116" s="28" t="s">
        <v>353</v>
      </c>
      <c r="L116" s="28" t="s">
        <v>180</v>
      </c>
      <c r="M116" s="28">
        <v>202302605</v>
      </c>
      <c r="N116" s="22" t="s">
        <v>164</v>
      </c>
      <c r="O116" s="22" t="s">
        <v>181</v>
      </c>
      <c r="P116" s="29" t="s">
        <v>14</v>
      </c>
    </row>
    <row r="117" spans="1:16" ht="21" x14ac:dyDescent="0.3">
      <c r="A117" s="28">
        <f>WEEKNUM(Table1[[#This Row],[Date]])</f>
        <v>3</v>
      </c>
      <c r="B117" s="35" t="s">
        <v>24</v>
      </c>
      <c r="C117" s="31">
        <v>46035</v>
      </c>
      <c r="D117" s="26" t="s">
        <v>332</v>
      </c>
      <c r="E117" s="22" t="s">
        <v>38</v>
      </c>
      <c r="F117" s="28" t="s">
        <v>151</v>
      </c>
      <c r="G117" s="28" t="s">
        <v>27</v>
      </c>
      <c r="H117" s="24"/>
      <c r="I117" s="24">
        <v>1</v>
      </c>
      <c r="J117" s="28" t="s">
        <v>9</v>
      </c>
      <c r="K117" s="28" t="s">
        <v>349</v>
      </c>
      <c r="L117" s="28" t="s">
        <v>93</v>
      </c>
      <c r="M117" s="28">
        <v>202302606</v>
      </c>
      <c r="N117" s="22" t="s">
        <v>164</v>
      </c>
      <c r="O117" s="22" t="s">
        <v>182</v>
      </c>
      <c r="P117" s="29" t="s">
        <v>11</v>
      </c>
    </row>
    <row r="118" spans="1:16" ht="21" x14ac:dyDescent="0.3">
      <c r="A118" s="28">
        <f>WEEKNUM(Table1[[#This Row],[Date]])</f>
        <v>3</v>
      </c>
      <c r="B118" s="35" t="s">
        <v>24</v>
      </c>
      <c r="C118" s="31">
        <v>46035</v>
      </c>
      <c r="D118" s="26" t="s">
        <v>332</v>
      </c>
      <c r="E118" s="22" t="s">
        <v>38</v>
      </c>
      <c r="F118" s="28" t="s">
        <v>56</v>
      </c>
      <c r="G118" s="28" t="s">
        <v>8</v>
      </c>
      <c r="H118" s="24"/>
      <c r="I118" s="24">
        <v>1</v>
      </c>
      <c r="J118" s="28" t="s">
        <v>271</v>
      </c>
      <c r="K118" s="28" t="s">
        <v>351</v>
      </c>
      <c r="L118" s="28" t="s">
        <v>55</v>
      </c>
      <c r="M118" s="28">
        <v>202302607</v>
      </c>
      <c r="N118" s="22" t="s">
        <v>165</v>
      </c>
      <c r="O118" s="22" t="s">
        <v>183</v>
      </c>
      <c r="P118" s="29" t="s">
        <v>46</v>
      </c>
    </row>
    <row r="119" spans="1:16" ht="21" x14ac:dyDescent="0.3">
      <c r="A119" s="28">
        <f>WEEKNUM(Table1[[#This Row],[Date]])</f>
        <v>3</v>
      </c>
      <c r="B119" s="35" t="s">
        <v>24</v>
      </c>
      <c r="C119" s="31">
        <v>46035</v>
      </c>
      <c r="D119" s="26" t="s">
        <v>332</v>
      </c>
      <c r="E119" s="22" t="s">
        <v>38</v>
      </c>
      <c r="F119" s="28" t="s">
        <v>56</v>
      </c>
      <c r="G119" s="28" t="s">
        <v>8</v>
      </c>
      <c r="H119" s="24"/>
      <c r="I119" s="24">
        <v>1</v>
      </c>
      <c r="J119" s="28" t="s">
        <v>272</v>
      </c>
      <c r="K119" s="28" t="s">
        <v>351</v>
      </c>
      <c r="L119" s="28" t="s">
        <v>55</v>
      </c>
      <c r="M119" s="28">
        <v>202302607</v>
      </c>
      <c r="N119" s="22" t="s">
        <v>165</v>
      </c>
      <c r="O119" s="22" t="s">
        <v>183</v>
      </c>
      <c r="P119" s="29" t="s">
        <v>46</v>
      </c>
    </row>
    <row r="120" spans="1:16" ht="21" x14ac:dyDescent="0.3">
      <c r="A120" s="28">
        <f>WEEKNUM(Table1[[#This Row],[Date]])</f>
        <v>3</v>
      </c>
      <c r="B120" s="35" t="s">
        <v>24</v>
      </c>
      <c r="C120" s="31">
        <v>46036</v>
      </c>
      <c r="D120" s="26" t="s">
        <v>332</v>
      </c>
      <c r="E120" s="22" t="s">
        <v>38</v>
      </c>
      <c r="F120" s="28" t="s">
        <v>184</v>
      </c>
      <c r="G120" s="28" t="s">
        <v>27</v>
      </c>
      <c r="H120" s="24"/>
      <c r="I120" s="24">
        <v>1</v>
      </c>
      <c r="J120" s="28"/>
      <c r="K120" s="28" t="s">
        <v>350</v>
      </c>
      <c r="L120" s="28" t="s">
        <v>152</v>
      </c>
      <c r="M120" s="28">
        <v>202302608</v>
      </c>
      <c r="N120" s="22" t="s">
        <v>169</v>
      </c>
      <c r="O120" s="22" t="s">
        <v>185</v>
      </c>
      <c r="P120" s="29" t="s">
        <v>11</v>
      </c>
    </row>
    <row r="121" spans="1:16" ht="21" x14ac:dyDescent="0.3">
      <c r="A121" s="28">
        <f>WEEKNUM(Table1[[#This Row],[Date]])</f>
        <v>3</v>
      </c>
      <c r="B121" s="35" t="s">
        <v>24</v>
      </c>
      <c r="C121" s="31">
        <v>46036</v>
      </c>
      <c r="D121" s="26" t="s">
        <v>332</v>
      </c>
      <c r="E121" s="22" t="s">
        <v>38</v>
      </c>
      <c r="F121" s="28" t="s">
        <v>186</v>
      </c>
      <c r="G121" s="28" t="s">
        <v>8</v>
      </c>
      <c r="H121" s="24"/>
      <c r="I121" s="24">
        <v>1</v>
      </c>
      <c r="J121" s="28" t="s">
        <v>212</v>
      </c>
      <c r="K121" s="28" t="s">
        <v>353</v>
      </c>
      <c r="L121" s="28" t="s">
        <v>28</v>
      </c>
      <c r="M121" s="28">
        <v>202302609</v>
      </c>
      <c r="N121" s="22" t="s">
        <v>164</v>
      </c>
      <c r="O121" s="22" t="s">
        <v>187</v>
      </c>
      <c r="P121" s="29" t="s">
        <v>14</v>
      </c>
    </row>
    <row r="122" spans="1:16" ht="21" x14ac:dyDescent="0.3">
      <c r="A122" s="28">
        <f>WEEKNUM(Table1[[#This Row],[Date]])</f>
        <v>3</v>
      </c>
      <c r="B122" s="35" t="s">
        <v>24</v>
      </c>
      <c r="C122" s="31">
        <v>46036</v>
      </c>
      <c r="D122" s="26" t="s">
        <v>332</v>
      </c>
      <c r="E122" s="22" t="s">
        <v>38</v>
      </c>
      <c r="F122" s="28" t="s">
        <v>188</v>
      </c>
      <c r="G122" s="28" t="s">
        <v>8</v>
      </c>
      <c r="H122" s="24"/>
      <c r="I122" s="24">
        <v>1</v>
      </c>
      <c r="J122" s="28" t="s">
        <v>212</v>
      </c>
      <c r="K122" s="28" t="s">
        <v>349</v>
      </c>
      <c r="L122" s="28" t="s">
        <v>51</v>
      </c>
      <c r="M122" s="28">
        <v>202302610</v>
      </c>
      <c r="N122" s="22" t="s">
        <v>164</v>
      </c>
      <c r="O122" s="22" t="s">
        <v>189</v>
      </c>
      <c r="P122" s="29" t="s">
        <v>11</v>
      </c>
    </row>
    <row r="123" spans="1:16" ht="21" x14ac:dyDescent="0.3">
      <c r="A123" s="28">
        <f>WEEKNUM(Table1[[#This Row],[Date]])</f>
        <v>3</v>
      </c>
      <c r="B123" s="35" t="s">
        <v>24</v>
      </c>
      <c r="C123" s="31">
        <v>46036</v>
      </c>
      <c r="D123" s="26" t="s">
        <v>332</v>
      </c>
      <c r="E123" s="22" t="s">
        <v>38</v>
      </c>
      <c r="F123" s="28" t="s">
        <v>190</v>
      </c>
      <c r="G123" s="28" t="s">
        <v>8</v>
      </c>
      <c r="H123" s="24"/>
      <c r="I123" s="24">
        <v>1</v>
      </c>
      <c r="J123" s="28" t="s">
        <v>212</v>
      </c>
      <c r="K123" s="28" t="s">
        <v>353</v>
      </c>
      <c r="L123" s="28" t="s">
        <v>39</v>
      </c>
      <c r="M123" s="28">
        <v>202302611</v>
      </c>
      <c r="N123" s="22" t="s">
        <v>164</v>
      </c>
      <c r="O123" s="22" t="s">
        <v>187</v>
      </c>
      <c r="P123" s="29" t="s">
        <v>14</v>
      </c>
    </row>
    <row r="124" spans="1:16" ht="21" x14ac:dyDescent="0.3">
      <c r="A124" s="28">
        <f>WEEKNUM(Table1[[#This Row],[Date]])</f>
        <v>3</v>
      </c>
      <c r="B124" s="35" t="s">
        <v>24</v>
      </c>
      <c r="C124" s="31">
        <v>46036</v>
      </c>
      <c r="D124" s="26" t="s">
        <v>332</v>
      </c>
      <c r="E124" s="22" t="s">
        <v>38</v>
      </c>
      <c r="F124" s="28" t="s">
        <v>191</v>
      </c>
      <c r="G124" s="28" t="s">
        <v>8</v>
      </c>
      <c r="H124" s="24"/>
      <c r="I124" s="24">
        <v>1</v>
      </c>
      <c r="J124" s="28" t="s">
        <v>271</v>
      </c>
      <c r="K124" s="28" t="s">
        <v>351</v>
      </c>
      <c r="L124" s="28" t="s">
        <v>55</v>
      </c>
      <c r="M124" s="28">
        <v>202302612</v>
      </c>
      <c r="N124" s="22" t="s">
        <v>165</v>
      </c>
      <c r="O124" s="22" t="s">
        <v>192</v>
      </c>
      <c r="P124" s="29" t="s">
        <v>46</v>
      </c>
    </row>
    <row r="125" spans="1:16" ht="21" x14ac:dyDescent="0.3">
      <c r="A125" s="28">
        <f>WEEKNUM(Table1[[#This Row],[Date]])</f>
        <v>3</v>
      </c>
      <c r="B125" s="35" t="s">
        <v>24</v>
      </c>
      <c r="C125" s="31">
        <v>46036</v>
      </c>
      <c r="D125" s="26" t="s">
        <v>332</v>
      </c>
      <c r="E125" s="22" t="s">
        <v>38</v>
      </c>
      <c r="F125" s="28" t="s">
        <v>193</v>
      </c>
      <c r="G125" s="28" t="s">
        <v>8</v>
      </c>
      <c r="H125" s="24"/>
      <c r="I125" s="24">
        <v>1</v>
      </c>
      <c r="J125" s="28" t="s">
        <v>273</v>
      </c>
      <c r="K125" s="28" t="s">
        <v>353</v>
      </c>
      <c r="L125" s="28" t="s">
        <v>13</v>
      </c>
      <c r="M125" s="28">
        <v>202302613</v>
      </c>
      <c r="N125" s="22" t="s">
        <v>166</v>
      </c>
      <c r="O125" s="22" t="s">
        <v>194</v>
      </c>
      <c r="P125" s="29" t="s">
        <v>14</v>
      </c>
    </row>
    <row r="126" spans="1:16" ht="21" x14ac:dyDescent="0.3">
      <c r="A126" s="28">
        <f>WEEKNUM(Table1[[#This Row],[Date]])</f>
        <v>3</v>
      </c>
      <c r="B126" s="35" t="s">
        <v>24</v>
      </c>
      <c r="C126" s="31">
        <v>46035</v>
      </c>
      <c r="D126" s="26" t="s">
        <v>11</v>
      </c>
      <c r="E126" s="22" t="s">
        <v>18</v>
      </c>
      <c r="F126" s="28" t="s">
        <v>195</v>
      </c>
      <c r="G126" s="28" t="s">
        <v>27</v>
      </c>
      <c r="H126" s="24">
        <v>6</v>
      </c>
      <c r="I126" s="24">
        <v>0</v>
      </c>
      <c r="J126" s="28"/>
      <c r="K126" s="28" t="s">
        <v>934</v>
      </c>
      <c r="L126" s="28" t="s">
        <v>934</v>
      </c>
      <c r="M126" s="28"/>
      <c r="N126" s="28" t="s">
        <v>934</v>
      </c>
      <c r="O126" s="22"/>
      <c r="P126" s="29" t="s">
        <v>171</v>
      </c>
    </row>
    <row r="127" spans="1:16" ht="21" x14ac:dyDescent="0.3">
      <c r="A127" s="28">
        <f>WEEKNUM(Table1[[#This Row],[Date]])</f>
        <v>3</v>
      </c>
      <c r="B127" s="35" t="s">
        <v>24</v>
      </c>
      <c r="C127" s="31">
        <v>46035</v>
      </c>
      <c r="D127" s="26" t="s">
        <v>11</v>
      </c>
      <c r="E127" s="22" t="s">
        <v>18</v>
      </c>
      <c r="F127" s="28" t="s">
        <v>196</v>
      </c>
      <c r="G127" s="28" t="s">
        <v>27</v>
      </c>
      <c r="H127" s="24">
        <v>13</v>
      </c>
      <c r="I127" s="24">
        <v>1</v>
      </c>
      <c r="J127" s="28" t="s">
        <v>197</v>
      </c>
      <c r="K127" s="28" t="s">
        <v>740</v>
      </c>
      <c r="L127" s="28" t="s">
        <v>36</v>
      </c>
      <c r="M127" s="28">
        <v>251640</v>
      </c>
      <c r="N127" s="22" t="s">
        <v>169</v>
      </c>
      <c r="O127" s="22" t="s">
        <v>198</v>
      </c>
      <c r="P127" s="29" t="s">
        <v>11</v>
      </c>
    </row>
    <row r="128" spans="1:16" ht="21" x14ac:dyDescent="0.3">
      <c r="A128" s="28">
        <f>WEEKNUM(Table1[[#This Row],[Date]])</f>
        <v>3</v>
      </c>
      <c r="B128" s="35" t="s">
        <v>24</v>
      </c>
      <c r="C128" s="31">
        <v>46035</v>
      </c>
      <c r="D128" s="26" t="s">
        <v>11</v>
      </c>
      <c r="E128" s="22" t="s">
        <v>18</v>
      </c>
      <c r="F128" s="28" t="s">
        <v>199</v>
      </c>
      <c r="G128" s="28" t="s">
        <v>27</v>
      </c>
      <c r="H128" s="24">
        <v>14</v>
      </c>
      <c r="I128" s="24">
        <v>0</v>
      </c>
      <c r="J128" s="28"/>
      <c r="K128" s="28" t="s">
        <v>934</v>
      </c>
      <c r="L128" s="28" t="s">
        <v>934</v>
      </c>
      <c r="M128" s="28"/>
      <c r="N128" s="28" t="s">
        <v>934</v>
      </c>
      <c r="O128" s="22"/>
      <c r="P128" s="29" t="s">
        <v>171</v>
      </c>
    </row>
    <row r="129" spans="1:16" ht="21" x14ac:dyDescent="0.3">
      <c r="A129" s="28">
        <f>WEEKNUM(Table1[[#This Row],[Date]])</f>
        <v>3</v>
      </c>
      <c r="B129" s="35" t="s">
        <v>24</v>
      </c>
      <c r="C129" s="31">
        <v>46035</v>
      </c>
      <c r="D129" s="26" t="s">
        <v>11</v>
      </c>
      <c r="E129" s="22" t="s">
        <v>18</v>
      </c>
      <c r="F129" s="28" t="s">
        <v>200</v>
      </c>
      <c r="G129" s="28" t="s">
        <v>27</v>
      </c>
      <c r="H129" s="24">
        <v>28</v>
      </c>
      <c r="I129" s="24">
        <v>1</v>
      </c>
      <c r="J129" s="28" t="s">
        <v>12</v>
      </c>
      <c r="K129" s="28" t="s">
        <v>740</v>
      </c>
      <c r="L129" s="28" t="s">
        <v>201</v>
      </c>
      <c r="M129" s="28">
        <v>251641</v>
      </c>
      <c r="N129" s="22" t="s">
        <v>166</v>
      </c>
      <c r="O129" s="22" t="s">
        <v>202</v>
      </c>
      <c r="P129" s="29" t="s">
        <v>11</v>
      </c>
    </row>
    <row r="130" spans="1:16" ht="21" x14ac:dyDescent="0.3">
      <c r="A130" s="28">
        <f>WEEKNUM(Table1[[#This Row],[Date]])</f>
        <v>3</v>
      </c>
      <c r="B130" s="35" t="s">
        <v>24</v>
      </c>
      <c r="C130" s="31">
        <v>46035</v>
      </c>
      <c r="D130" s="26" t="s">
        <v>11</v>
      </c>
      <c r="E130" s="22" t="s">
        <v>18</v>
      </c>
      <c r="F130" s="28" t="s">
        <v>105</v>
      </c>
      <c r="G130" s="28" t="s">
        <v>27</v>
      </c>
      <c r="H130" s="24">
        <v>72</v>
      </c>
      <c r="I130" s="24">
        <v>0</v>
      </c>
      <c r="J130" s="28"/>
      <c r="K130" s="28" t="s">
        <v>934</v>
      </c>
      <c r="L130" s="28" t="s">
        <v>934</v>
      </c>
      <c r="M130" s="28"/>
      <c r="N130" s="28" t="s">
        <v>934</v>
      </c>
      <c r="O130" s="22"/>
      <c r="P130" s="29" t="s">
        <v>171</v>
      </c>
    </row>
    <row r="131" spans="1:16" ht="21" x14ac:dyDescent="0.3">
      <c r="A131" s="28">
        <f>WEEKNUM(Table1[[#This Row],[Date]])</f>
        <v>3</v>
      </c>
      <c r="B131" s="35" t="s">
        <v>24</v>
      </c>
      <c r="C131" s="31">
        <v>46035</v>
      </c>
      <c r="D131" s="26" t="s">
        <v>11</v>
      </c>
      <c r="E131" s="22" t="s">
        <v>18</v>
      </c>
      <c r="F131" s="28" t="s">
        <v>188</v>
      </c>
      <c r="G131" s="28" t="s">
        <v>27</v>
      </c>
      <c r="H131" s="24">
        <v>13</v>
      </c>
      <c r="I131" s="24">
        <v>1</v>
      </c>
      <c r="J131" s="28" t="s">
        <v>203</v>
      </c>
      <c r="K131" s="28" t="s">
        <v>740</v>
      </c>
      <c r="L131" s="28" t="s">
        <v>201</v>
      </c>
      <c r="M131" s="28">
        <v>251642</v>
      </c>
      <c r="N131" s="22" t="s">
        <v>166</v>
      </c>
      <c r="O131" s="22" t="s">
        <v>202</v>
      </c>
      <c r="P131" s="29" t="s">
        <v>11</v>
      </c>
    </row>
    <row r="132" spans="1:16" ht="21" x14ac:dyDescent="0.3">
      <c r="A132" s="28">
        <f>WEEKNUM(Table1[[#This Row],[Date]])</f>
        <v>3</v>
      </c>
      <c r="B132" s="35" t="s">
        <v>24</v>
      </c>
      <c r="C132" s="31">
        <v>46035</v>
      </c>
      <c r="D132" s="26" t="s">
        <v>11</v>
      </c>
      <c r="E132" s="22" t="s">
        <v>18</v>
      </c>
      <c r="F132" s="28" t="s">
        <v>204</v>
      </c>
      <c r="G132" s="28" t="s">
        <v>27</v>
      </c>
      <c r="H132" s="24">
        <v>7</v>
      </c>
      <c r="I132" s="24">
        <v>1</v>
      </c>
      <c r="J132" s="28" t="s">
        <v>12</v>
      </c>
      <c r="K132" s="28" t="s">
        <v>349</v>
      </c>
      <c r="L132" s="28" t="s">
        <v>93</v>
      </c>
      <c r="M132" s="28">
        <v>251643</v>
      </c>
      <c r="N132" s="22" t="s">
        <v>166</v>
      </c>
      <c r="O132" s="22" t="s">
        <v>205</v>
      </c>
      <c r="P132" s="29" t="s">
        <v>11</v>
      </c>
    </row>
    <row r="133" spans="1:16" ht="21" x14ac:dyDescent="0.3">
      <c r="A133" s="28">
        <f>WEEKNUM(Table1[[#This Row],[Date]])</f>
        <v>3</v>
      </c>
      <c r="B133" s="35" t="s">
        <v>24</v>
      </c>
      <c r="C133" s="31">
        <v>46035</v>
      </c>
      <c r="D133" s="26" t="s">
        <v>11</v>
      </c>
      <c r="E133" s="22" t="s">
        <v>25</v>
      </c>
      <c r="F133" s="28" t="s">
        <v>206</v>
      </c>
      <c r="G133" s="28" t="s">
        <v>27</v>
      </c>
      <c r="H133" s="24">
        <v>21</v>
      </c>
      <c r="I133" s="24">
        <v>1</v>
      </c>
      <c r="J133" s="28" t="s">
        <v>158</v>
      </c>
      <c r="K133" s="28" t="s">
        <v>740</v>
      </c>
      <c r="L133" s="28" t="s">
        <v>201</v>
      </c>
      <c r="M133" s="28">
        <v>251644</v>
      </c>
      <c r="N133" s="22" t="s">
        <v>166</v>
      </c>
      <c r="O133" s="22"/>
      <c r="P133" s="29" t="s">
        <v>11</v>
      </c>
    </row>
    <row r="134" spans="1:16" ht="21" x14ac:dyDescent="0.3">
      <c r="A134" s="28">
        <f>WEEKNUM(Table1[[#This Row],[Date]])</f>
        <v>3</v>
      </c>
      <c r="B134" s="35" t="s">
        <v>24</v>
      </c>
      <c r="C134" s="31">
        <v>46035</v>
      </c>
      <c r="D134" s="26" t="s">
        <v>11</v>
      </c>
      <c r="E134" s="22" t="s">
        <v>25</v>
      </c>
      <c r="F134" s="28" t="s">
        <v>206</v>
      </c>
      <c r="G134" s="28" t="s">
        <v>27</v>
      </c>
      <c r="H134" s="24">
        <v>1</v>
      </c>
      <c r="I134" s="24">
        <v>1</v>
      </c>
      <c r="J134" s="28" t="s">
        <v>9</v>
      </c>
      <c r="K134" s="28" t="s">
        <v>349</v>
      </c>
      <c r="L134" s="28" t="s">
        <v>10</v>
      </c>
      <c r="M134" s="28">
        <v>251645</v>
      </c>
      <c r="N134" s="22" t="s">
        <v>166</v>
      </c>
      <c r="O134" s="22"/>
      <c r="P134" s="29" t="s">
        <v>11</v>
      </c>
    </row>
    <row r="135" spans="1:16" ht="21" x14ac:dyDescent="0.3">
      <c r="A135" s="28">
        <f>WEEKNUM(Table1[[#This Row],[Date]])</f>
        <v>3</v>
      </c>
      <c r="B135" s="35" t="s">
        <v>24</v>
      </c>
      <c r="C135" s="31">
        <v>46035</v>
      </c>
      <c r="D135" s="26" t="s">
        <v>11</v>
      </c>
      <c r="E135" s="22" t="s">
        <v>25</v>
      </c>
      <c r="F135" s="28" t="s">
        <v>207</v>
      </c>
      <c r="G135" s="28" t="s">
        <v>27</v>
      </c>
      <c r="H135" s="24">
        <v>3</v>
      </c>
      <c r="I135" s="24">
        <v>1</v>
      </c>
      <c r="J135" s="28" t="s">
        <v>158</v>
      </c>
      <c r="K135" s="28" t="s">
        <v>61</v>
      </c>
      <c r="L135" s="28" t="s">
        <v>159</v>
      </c>
      <c r="M135" s="28">
        <v>251646</v>
      </c>
      <c r="N135" s="22" t="s">
        <v>164</v>
      </c>
      <c r="O135" s="22" t="s">
        <v>208</v>
      </c>
      <c r="P135" s="29" t="s">
        <v>16</v>
      </c>
    </row>
    <row r="136" spans="1:16" ht="21" x14ac:dyDescent="0.3">
      <c r="A136" s="28">
        <f>WEEKNUM(Table1[[#This Row],[Date]])</f>
        <v>3</v>
      </c>
      <c r="B136" s="35" t="s">
        <v>24</v>
      </c>
      <c r="C136" s="31">
        <v>46035</v>
      </c>
      <c r="D136" s="26" t="s">
        <v>11</v>
      </c>
      <c r="E136" s="22" t="s">
        <v>25</v>
      </c>
      <c r="F136" s="28" t="s">
        <v>209</v>
      </c>
      <c r="G136" s="28" t="s">
        <v>27</v>
      </c>
      <c r="H136" s="24">
        <v>35</v>
      </c>
      <c r="I136" s="24">
        <v>1</v>
      </c>
      <c r="J136" s="28" t="s">
        <v>210</v>
      </c>
      <c r="K136" s="28" t="s">
        <v>740</v>
      </c>
      <c r="L136" s="28" t="s">
        <v>201</v>
      </c>
      <c r="M136" s="28">
        <v>251647</v>
      </c>
      <c r="N136" s="22" t="s">
        <v>166</v>
      </c>
      <c r="O136" s="22"/>
      <c r="P136" s="29" t="s">
        <v>11</v>
      </c>
    </row>
    <row r="137" spans="1:16" ht="21" x14ac:dyDescent="0.3">
      <c r="A137" s="28">
        <f>WEEKNUM(Table1[[#This Row],[Date]])</f>
        <v>3</v>
      </c>
      <c r="B137" s="35" t="s">
        <v>24</v>
      </c>
      <c r="C137" s="31">
        <v>46035</v>
      </c>
      <c r="D137" s="26" t="s">
        <v>11</v>
      </c>
      <c r="E137" s="22" t="s">
        <v>25</v>
      </c>
      <c r="F137" s="28" t="s">
        <v>211</v>
      </c>
      <c r="G137" s="28" t="s">
        <v>8</v>
      </c>
      <c r="H137" s="24">
        <v>8</v>
      </c>
      <c r="I137" s="24">
        <v>1</v>
      </c>
      <c r="J137" s="28" t="s">
        <v>212</v>
      </c>
      <c r="K137" s="28" t="s">
        <v>349</v>
      </c>
      <c r="L137" s="28" t="s">
        <v>45</v>
      </c>
      <c r="M137" s="28">
        <v>251648</v>
      </c>
      <c r="N137" s="22" t="s">
        <v>166</v>
      </c>
      <c r="O137" s="22" t="s">
        <v>213</v>
      </c>
      <c r="P137" s="29" t="s">
        <v>11</v>
      </c>
    </row>
    <row r="138" spans="1:16" ht="21" x14ac:dyDescent="0.3">
      <c r="A138" s="28">
        <f>WEEKNUM(Table1[[#This Row],[Date]])</f>
        <v>3</v>
      </c>
      <c r="B138" s="35" t="s">
        <v>24</v>
      </c>
      <c r="C138" s="31">
        <v>46036</v>
      </c>
      <c r="D138" s="26" t="s">
        <v>11</v>
      </c>
      <c r="E138" s="22" t="s">
        <v>18</v>
      </c>
      <c r="F138" s="28" t="s">
        <v>214</v>
      </c>
      <c r="G138" s="28" t="s">
        <v>27</v>
      </c>
      <c r="H138" s="24">
        <v>8</v>
      </c>
      <c r="I138" s="24">
        <v>1</v>
      </c>
      <c r="J138" s="28" t="s">
        <v>12</v>
      </c>
      <c r="K138" s="28" t="s">
        <v>61</v>
      </c>
      <c r="L138" s="28" t="s">
        <v>159</v>
      </c>
      <c r="M138" s="28">
        <v>251649</v>
      </c>
      <c r="N138" s="22" t="s">
        <v>164</v>
      </c>
      <c r="O138" s="22" t="s">
        <v>215</v>
      </c>
      <c r="P138" s="29" t="s">
        <v>16</v>
      </c>
    </row>
    <row r="139" spans="1:16" ht="21" x14ac:dyDescent="0.3">
      <c r="A139" s="28">
        <f>WEEKNUM(Table1[[#This Row],[Date]])</f>
        <v>3</v>
      </c>
      <c r="B139" s="35" t="s">
        <v>24</v>
      </c>
      <c r="C139" s="31">
        <v>46036</v>
      </c>
      <c r="D139" s="26" t="s">
        <v>11</v>
      </c>
      <c r="E139" s="22" t="s">
        <v>18</v>
      </c>
      <c r="F139" s="28" t="s">
        <v>216</v>
      </c>
      <c r="G139" s="28" t="s">
        <v>27</v>
      </c>
      <c r="H139" s="24">
        <v>3</v>
      </c>
      <c r="I139" s="24">
        <v>0</v>
      </c>
      <c r="J139" s="28"/>
      <c r="K139" s="28" t="s">
        <v>934</v>
      </c>
      <c r="L139" s="28" t="s">
        <v>934</v>
      </c>
      <c r="M139" s="28"/>
      <c r="N139" s="28" t="s">
        <v>934</v>
      </c>
      <c r="O139" s="22"/>
      <c r="P139" s="29" t="s">
        <v>171</v>
      </c>
    </row>
    <row r="140" spans="1:16" ht="21" x14ac:dyDescent="0.3">
      <c r="A140" s="28">
        <f>WEEKNUM(Table1[[#This Row],[Date]])</f>
        <v>3</v>
      </c>
      <c r="B140" s="35" t="s">
        <v>24</v>
      </c>
      <c r="C140" s="31">
        <v>46036</v>
      </c>
      <c r="D140" s="26" t="s">
        <v>11</v>
      </c>
      <c r="E140" s="22" t="s">
        <v>18</v>
      </c>
      <c r="F140" s="28" t="s">
        <v>217</v>
      </c>
      <c r="G140" s="28" t="s">
        <v>27</v>
      </c>
      <c r="H140" s="24">
        <v>36</v>
      </c>
      <c r="I140" s="24">
        <v>1</v>
      </c>
      <c r="J140" s="28" t="s">
        <v>12</v>
      </c>
      <c r="K140" s="28" t="s">
        <v>61</v>
      </c>
      <c r="L140" s="28" t="s">
        <v>39</v>
      </c>
      <c r="M140" s="28">
        <v>251650</v>
      </c>
      <c r="N140" s="22" t="s">
        <v>166</v>
      </c>
      <c r="O140" s="22" t="s">
        <v>218</v>
      </c>
      <c r="P140" s="29" t="s">
        <v>16</v>
      </c>
    </row>
    <row r="141" spans="1:16" ht="21" x14ac:dyDescent="0.3">
      <c r="A141" s="28">
        <f>WEEKNUM(Table1[[#This Row],[Date]])</f>
        <v>3</v>
      </c>
      <c r="B141" s="35" t="s">
        <v>24</v>
      </c>
      <c r="C141" s="31">
        <v>46036</v>
      </c>
      <c r="D141" s="26" t="s">
        <v>11</v>
      </c>
      <c r="E141" s="22" t="s">
        <v>18</v>
      </c>
      <c r="F141" s="28" t="s">
        <v>137</v>
      </c>
      <c r="G141" s="28" t="s">
        <v>27</v>
      </c>
      <c r="H141" s="24">
        <v>6</v>
      </c>
      <c r="I141" s="24">
        <v>0</v>
      </c>
      <c r="J141" s="28"/>
      <c r="K141" s="28" t="s">
        <v>934</v>
      </c>
      <c r="L141" s="28" t="s">
        <v>934</v>
      </c>
      <c r="M141" s="28"/>
      <c r="N141" s="28" t="s">
        <v>934</v>
      </c>
      <c r="O141" s="22"/>
      <c r="P141" s="29" t="s">
        <v>171</v>
      </c>
    </row>
    <row r="142" spans="1:16" ht="21" x14ac:dyDescent="0.3">
      <c r="A142" s="28">
        <f>WEEKNUM(Table1[[#This Row],[Date]])</f>
        <v>3</v>
      </c>
      <c r="B142" s="35" t="s">
        <v>24</v>
      </c>
      <c r="C142" s="31">
        <v>46036</v>
      </c>
      <c r="D142" s="26" t="s">
        <v>11</v>
      </c>
      <c r="E142" s="22" t="s">
        <v>18</v>
      </c>
      <c r="F142" s="28" t="s">
        <v>219</v>
      </c>
      <c r="G142" s="28" t="s">
        <v>27</v>
      </c>
      <c r="H142" s="24">
        <v>13</v>
      </c>
      <c r="I142" s="24">
        <v>0</v>
      </c>
      <c r="J142" s="28"/>
      <c r="K142" s="28" t="s">
        <v>934</v>
      </c>
      <c r="L142" s="28" t="s">
        <v>934</v>
      </c>
      <c r="M142" s="28"/>
      <c r="N142" s="28" t="s">
        <v>934</v>
      </c>
      <c r="O142" s="22"/>
      <c r="P142" s="29" t="s">
        <v>171</v>
      </c>
    </row>
    <row r="143" spans="1:16" ht="21" x14ac:dyDescent="0.3">
      <c r="A143" s="28">
        <f>WEEKNUM(Table1[[#This Row],[Date]])</f>
        <v>3</v>
      </c>
      <c r="B143" s="35" t="s">
        <v>24</v>
      </c>
      <c r="C143" s="31">
        <v>46036</v>
      </c>
      <c r="D143" s="26" t="s">
        <v>11</v>
      </c>
      <c r="E143" s="22" t="s">
        <v>18</v>
      </c>
      <c r="F143" s="28" t="s">
        <v>220</v>
      </c>
      <c r="G143" s="28" t="s">
        <v>27</v>
      </c>
      <c r="H143" s="24">
        <v>35</v>
      </c>
      <c r="I143" s="24">
        <v>0</v>
      </c>
      <c r="J143" s="28"/>
      <c r="K143" s="28" t="s">
        <v>934</v>
      </c>
      <c r="L143" s="28" t="s">
        <v>934</v>
      </c>
      <c r="M143" s="28"/>
      <c r="N143" s="28" t="s">
        <v>934</v>
      </c>
      <c r="O143" s="22"/>
      <c r="P143" s="29" t="s">
        <v>171</v>
      </c>
    </row>
    <row r="144" spans="1:16" ht="21" x14ac:dyDescent="0.3">
      <c r="A144" s="28">
        <f>WEEKNUM(Table1[[#This Row],[Date]])</f>
        <v>3</v>
      </c>
      <c r="B144" s="35" t="s">
        <v>24</v>
      </c>
      <c r="C144" s="31">
        <v>46036</v>
      </c>
      <c r="D144" s="26" t="s">
        <v>11</v>
      </c>
      <c r="E144" s="22" t="s">
        <v>18</v>
      </c>
      <c r="F144" s="28" t="s">
        <v>114</v>
      </c>
      <c r="G144" s="28" t="s">
        <v>27</v>
      </c>
      <c r="H144" s="24">
        <v>11</v>
      </c>
      <c r="I144" s="24">
        <v>0</v>
      </c>
      <c r="J144" s="28"/>
      <c r="K144" s="28" t="s">
        <v>934</v>
      </c>
      <c r="L144" s="28" t="s">
        <v>934</v>
      </c>
      <c r="M144" s="28"/>
      <c r="N144" s="28" t="s">
        <v>934</v>
      </c>
      <c r="O144" s="22"/>
      <c r="P144" s="29" t="s">
        <v>171</v>
      </c>
    </row>
    <row r="145" spans="1:16" ht="21" x14ac:dyDescent="0.3">
      <c r="A145" s="28">
        <f>WEEKNUM(Table1[[#This Row],[Date]])</f>
        <v>3</v>
      </c>
      <c r="B145" s="35" t="s">
        <v>24</v>
      </c>
      <c r="C145" s="31">
        <v>46036</v>
      </c>
      <c r="D145" s="26" t="s">
        <v>11</v>
      </c>
      <c r="E145" s="22" t="s">
        <v>18</v>
      </c>
      <c r="F145" s="28" t="s">
        <v>221</v>
      </c>
      <c r="G145" s="28" t="s">
        <v>8</v>
      </c>
      <c r="H145" s="24">
        <v>3</v>
      </c>
      <c r="I145" s="24">
        <v>0</v>
      </c>
      <c r="J145" s="28"/>
      <c r="K145" s="28" t="s">
        <v>934</v>
      </c>
      <c r="L145" s="28" t="s">
        <v>934</v>
      </c>
      <c r="M145" s="28"/>
      <c r="N145" s="28" t="s">
        <v>934</v>
      </c>
      <c r="O145" s="22"/>
      <c r="P145" s="29" t="s">
        <v>171</v>
      </c>
    </row>
    <row r="146" spans="1:16" ht="21" x14ac:dyDescent="0.3">
      <c r="A146" s="28">
        <f>WEEKNUM(Table1[[#This Row],[Date]])</f>
        <v>3</v>
      </c>
      <c r="B146" s="35" t="s">
        <v>24</v>
      </c>
      <c r="C146" s="31">
        <v>46036</v>
      </c>
      <c r="D146" s="26" t="s">
        <v>11</v>
      </c>
      <c r="E146" s="22" t="s">
        <v>25</v>
      </c>
      <c r="F146" s="28" t="s">
        <v>222</v>
      </c>
      <c r="G146" s="28" t="s">
        <v>8</v>
      </c>
      <c r="H146" s="24">
        <v>9</v>
      </c>
      <c r="I146" s="24">
        <v>1</v>
      </c>
      <c r="J146" s="28" t="s">
        <v>17</v>
      </c>
      <c r="K146" s="28" t="s">
        <v>740</v>
      </c>
      <c r="L146" s="28" t="s">
        <v>201</v>
      </c>
      <c r="M146" s="28">
        <v>251652</v>
      </c>
      <c r="N146" s="22" t="s">
        <v>166</v>
      </c>
      <c r="O146" s="22"/>
      <c r="P146" s="29" t="s">
        <v>11</v>
      </c>
    </row>
    <row r="147" spans="1:16" ht="21" x14ac:dyDescent="0.3">
      <c r="A147" s="28">
        <f>WEEKNUM(Table1[[#This Row],[Date]])</f>
        <v>3</v>
      </c>
      <c r="B147" s="35" t="s">
        <v>24</v>
      </c>
      <c r="C147" s="31">
        <v>46036</v>
      </c>
      <c r="D147" s="26" t="s">
        <v>11</v>
      </c>
      <c r="E147" s="22" t="s">
        <v>25</v>
      </c>
      <c r="F147" s="28" t="s">
        <v>222</v>
      </c>
      <c r="G147" s="28" t="s">
        <v>8</v>
      </c>
      <c r="H147" s="24">
        <v>2</v>
      </c>
      <c r="I147" s="24">
        <v>1</v>
      </c>
      <c r="J147" s="28" t="s">
        <v>223</v>
      </c>
      <c r="K147" s="28" t="s">
        <v>740</v>
      </c>
      <c r="L147" s="28" t="s">
        <v>224</v>
      </c>
      <c r="M147" s="28">
        <v>251653</v>
      </c>
      <c r="N147" s="22" t="s">
        <v>166</v>
      </c>
      <c r="O147" s="22"/>
      <c r="P147" s="29" t="s">
        <v>11</v>
      </c>
    </row>
    <row r="148" spans="1:16" ht="21" x14ac:dyDescent="0.3">
      <c r="A148" s="28">
        <f>WEEKNUM(Table1[[#This Row],[Date]])</f>
        <v>3</v>
      </c>
      <c r="B148" s="35" t="s">
        <v>24</v>
      </c>
      <c r="C148" s="31">
        <v>46036</v>
      </c>
      <c r="D148" s="26" t="s">
        <v>11</v>
      </c>
      <c r="E148" s="22" t="s">
        <v>25</v>
      </c>
      <c r="F148" s="28" t="s">
        <v>134</v>
      </c>
      <c r="G148" s="28" t="s">
        <v>8</v>
      </c>
      <c r="H148" s="24">
        <v>7</v>
      </c>
      <c r="I148" s="24">
        <v>0</v>
      </c>
      <c r="J148" s="28"/>
      <c r="K148" s="28" t="s">
        <v>934</v>
      </c>
      <c r="L148" s="28" t="s">
        <v>934</v>
      </c>
      <c r="M148" s="28"/>
      <c r="N148" s="28" t="s">
        <v>934</v>
      </c>
      <c r="O148" s="22"/>
      <c r="P148" s="29" t="s">
        <v>171</v>
      </c>
    </row>
    <row r="149" spans="1:16" ht="21" x14ac:dyDescent="0.3">
      <c r="A149" s="28">
        <f>WEEKNUM(Table1[[#This Row],[Date]])</f>
        <v>3</v>
      </c>
      <c r="B149" s="35" t="s">
        <v>24</v>
      </c>
      <c r="C149" s="31">
        <v>46036</v>
      </c>
      <c r="D149" s="26" t="s">
        <v>11</v>
      </c>
      <c r="E149" s="22" t="s">
        <v>25</v>
      </c>
      <c r="F149" s="28" t="s">
        <v>225</v>
      </c>
      <c r="G149" s="28" t="s">
        <v>8</v>
      </c>
      <c r="H149" s="24">
        <v>5</v>
      </c>
      <c r="I149" s="24">
        <v>1</v>
      </c>
      <c r="J149" s="28" t="s">
        <v>15</v>
      </c>
      <c r="K149" s="28" t="s">
        <v>353</v>
      </c>
      <c r="L149" s="28" t="s">
        <v>226</v>
      </c>
      <c r="M149" s="28">
        <v>251654</v>
      </c>
      <c r="N149" s="22" t="s">
        <v>166</v>
      </c>
      <c r="O149" s="22"/>
      <c r="P149" s="29" t="s">
        <v>14</v>
      </c>
    </row>
    <row r="150" spans="1:16" ht="21" x14ac:dyDescent="0.3">
      <c r="A150" s="28">
        <f>WEEKNUM(Table1[[#This Row],[Date]])</f>
        <v>3</v>
      </c>
      <c r="B150" s="35" t="s">
        <v>24</v>
      </c>
      <c r="C150" s="31">
        <v>46036</v>
      </c>
      <c r="D150" s="26" t="s">
        <v>11</v>
      </c>
      <c r="E150" s="22" t="s">
        <v>25</v>
      </c>
      <c r="F150" s="28" t="s">
        <v>227</v>
      </c>
      <c r="G150" s="28" t="s">
        <v>27</v>
      </c>
      <c r="H150" s="24">
        <v>32</v>
      </c>
      <c r="I150" s="24">
        <v>1</v>
      </c>
      <c r="J150" s="28" t="s">
        <v>12</v>
      </c>
      <c r="K150" s="28" t="s">
        <v>353</v>
      </c>
      <c r="L150" s="28" t="s">
        <v>13</v>
      </c>
      <c r="M150" s="28">
        <v>251655</v>
      </c>
      <c r="N150" s="22" t="s">
        <v>166</v>
      </c>
      <c r="O150" s="22"/>
      <c r="P150" s="29" t="s">
        <v>14</v>
      </c>
    </row>
    <row r="151" spans="1:16" ht="21" x14ac:dyDescent="0.3">
      <c r="A151" s="28">
        <f>WEEKNUM(Table1[[#This Row],[Date]])</f>
        <v>3</v>
      </c>
      <c r="B151" s="35" t="s">
        <v>24</v>
      </c>
      <c r="C151" s="31">
        <v>46036</v>
      </c>
      <c r="D151" s="26" t="s">
        <v>11</v>
      </c>
      <c r="E151" s="22" t="s">
        <v>25</v>
      </c>
      <c r="F151" s="28" t="s">
        <v>228</v>
      </c>
      <c r="G151" s="28" t="s">
        <v>8</v>
      </c>
      <c r="H151" s="24">
        <v>1</v>
      </c>
      <c r="I151" s="24">
        <v>1</v>
      </c>
      <c r="J151" s="28" t="s">
        <v>229</v>
      </c>
      <c r="K151" s="28" t="s">
        <v>353</v>
      </c>
      <c r="L151" s="28" t="s">
        <v>34</v>
      </c>
      <c r="M151" s="28">
        <v>251656</v>
      </c>
      <c r="N151" s="22" t="s">
        <v>164</v>
      </c>
      <c r="O151" s="22" t="s">
        <v>230</v>
      </c>
      <c r="P151" s="29" t="s">
        <v>14</v>
      </c>
    </row>
    <row r="152" spans="1:16" ht="21" x14ac:dyDescent="0.3">
      <c r="A152" s="28">
        <f>WEEKNUM(Table1[[#This Row],[Date]])</f>
        <v>3</v>
      </c>
      <c r="B152" s="35" t="s">
        <v>24</v>
      </c>
      <c r="C152" s="31">
        <v>46036</v>
      </c>
      <c r="D152" s="26" t="s">
        <v>11</v>
      </c>
      <c r="E152" s="22" t="s">
        <v>25</v>
      </c>
      <c r="F152" s="28" t="s">
        <v>231</v>
      </c>
      <c r="G152" s="28" t="s">
        <v>8</v>
      </c>
      <c r="H152" s="24">
        <v>2</v>
      </c>
      <c r="I152" s="24">
        <v>1</v>
      </c>
      <c r="J152" s="28" t="s">
        <v>232</v>
      </c>
      <c r="K152" s="28" t="s">
        <v>61</v>
      </c>
      <c r="L152" s="28" t="s">
        <v>39</v>
      </c>
      <c r="M152" s="28">
        <v>251657</v>
      </c>
      <c r="N152" s="22" t="s">
        <v>166</v>
      </c>
      <c r="O152" s="22"/>
      <c r="P152" s="29" t="s">
        <v>16</v>
      </c>
    </row>
    <row r="153" spans="1:16" ht="21" x14ac:dyDescent="0.3">
      <c r="A153" s="28">
        <f>WEEKNUM(Table1[[#This Row],[Date]])</f>
        <v>3</v>
      </c>
      <c r="B153" s="35" t="s">
        <v>24</v>
      </c>
      <c r="C153" s="31">
        <v>46037</v>
      </c>
      <c r="D153" s="26" t="s">
        <v>11</v>
      </c>
      <c r="E153" s="22" t="s">
        <v>18</v>
      </c>
      <c r="F153" s="28" t="s">
        <v>231</v>
      </c>
      <c r="G153" s="28" t="s">
        <v>8</v>
      </c>
      <c r="H153" s="24">
        <v>7</v>
      </c>
      <c r="I153" s="24">
        <v>1</v>
      </c>
      <c r="J153" s="28" t="s">
        <v>12</v>
      </c>
      <c r="K153" s="28" t="s">
        <v>349</v>
      </c>
      <c r="L153" s="28" t="s">
        <v>13</v>
      </c>
      <c r="M153" s="28">
        <v>251658</v>
      </c>
      <c r="N153" s="22" t="s">
        <v>166</v>
      </c>
      <c r="O153" s="22" t="s">
        <v>275</v>
      </c>
      <c r="P153" s="29" t="s">
        <v>11</v>
      </c>
    </row>
    <row r="154" spans="1:16" ht="21" x14ac:dyDescent="0.3">
      <c r="A154" s="28">
        <f>WEEKNUM(Table1[[#This Row],[Date]])</f>
        <v>3</v>
      </c>
      <c r="B154" s="35" t="s">
        <v>24</v>
      </c>
      <c r="C154" s="31">
        <v>46037</v>
      </c>
      <c r="D154" s="26" t="s">
        <v>11</v>
      </c>
      <c r="E154" s="22" t="s">
        <v>18</v>
      </c>
      <c r="F154" s="28" t="s">
        <v>276</v>
      </c>
      <c r="G154" s="28" t="s">
        <v>8</v>
      </c>
      <c r="H154" s="24">
        <v>7</v>
      </c>
      <c r="I154" s="24">
        <v>1</v>
      </c>
      <c r="J154" s="28" t="s">
        <v>9</v>
      </c>
      <c r="K154" s="28" t="s">
        <v>349</v>
      </c>
      <c r="L154" s="28" t="s">
        <v>10</v>
      </c>
      <c r="M154" s="28">
        <v>251659</v>
      </c>
      <c r="N154" s="22" t="s">
        <v>164</v>
      </c>
      <c r="O154" s="22" t="s">
        <v>277</v>
      </c>
      <c r="P154" s="29" t="s">
        <v>11</v>
      </c>
    </row>
    <row r="155" spans="1:16" ht="21" x14ac:dyDescent="0.3">
      <c r="A155" s="28">
        <f>WEEKNUM(Table1[[#This Row],[Date]])</f>
        <v>3</v>
      </c>
      <c r="B155" s="35" t="s">
        <v>24</v>
      </c>
      <c r="C155" s="31">
        <v>46037</v>
      </c>
      <c r="D155" s="26" t="s">
        <v>11</v>
      </c>
      <c r="E155" s="22" t="s">
        <v>18</v>
      </c>
      <c r="F155" s="28" t="s">
        <v>278</v>
      </c>
      <c r="G155" s="28" t="s">
        <v>27</v>
      </c>
      <c r="H155" s="24">
        <v>15</v>
      </c>
      <c r="I155" s="24">
        <v>0</v>
      </c>
      <c r="J155" s="28"/>
      <c r="K155" s="28" t="s">
        <v>934</v>
      </c>
      <c r="L155" s="28" t="s">
        <v>934</v>
      </c>
      <c r="M155" s="28"/>
      <c r="N155" s="28" t="s">
        <v>934</v>
      </c>
      <c r="O155" s="22"/>
      <c r="P155" s="29" t="s">
        <v>171</v>
      </c>
    </row>
    <row r="156" spans="1:16" ht="36" x14ac:dyDescent="0.3">
      <c r="A156" s="28">
        <f>WEEKNUM(Table1[[#This Row],[Date]])</f>
        <v>3</v>
      </c>
      <c r="B156" s="35" t="s">
        <v>24</v>
      </c>
      <c r="C156" s="31">
        <v>46037</v>
      </c>
      <c r="D156" s="26" t="s">
        <v>11</v>
      </c>
      <c r="E156" s="22" t="s">
        <v>18</v>
      </c>
      <c r="F156" s="28" t="s">
        <v>279</v>
      </c>
      <c r="G156" s="28" t="s">
        <v>27</v>
      </c>
      <c r="H156" s="24">
        <v>6</v>
      </c>
      <c r="I156" s="24">
        <v>1</v>
      </c>
      <c r="J156" s="28" t="s">
        <v>12</v>
      </c>
      <c r="K156" s="28" t="s">
        <v>347</v>
      </c>
      <c r="L156" s="28" t="s">
        <v>28</v>
      </c>
      <c r="M156" s="28">
        <v>251660</v>
      </c>
      <c r="N156" s="22" t="s">
        <v>166</v>
      </c>
      <c r="O156" s="22" t="s">
        <v>280</v>
      </c>
      <c r="P156" s="29" t="s">
        <v>11</v>
      </c>
    </row>
    <row r="157" spans="1:16" ht="21" x14ac:dyDescent="0.3">
      <c r="A157" s="28">
        <f>WEEKNUM(Table1[[#This Row],[Date]])</f>
        <v>3</v>
      </c>
      <c r="B157" s="35" t="s">
        <v>24</v>
      </c>
      <c r="C157" s="31">
        <v>46037</v>
      </c>
      <c r="D157" s="26" t="s">
        <v>11</v>
      </c>
      <c r="E157" s="22" t="s">
        <v>18</v>
      </c>
      <c r="F157" s="28" t="s">
        <v>281</v>
      </c>
      <c r="G157" s="28" t="s">
        <v>27</v>
      </c>
      <c r="H157" s="24">
        <v>6</v>
      </c>
      <c r="I157" s="24">
        <v>0</v>
      </c>
      <c r="J157" s="28"/>
      <c r="K157" s="28" t="s">
        <v>934</v>
      </c>
      <c r="L157" s="28" t="s">
        <v>934</v>
      </c>
      <c r="M157" s="28"/>
      <c r="N157" s="28" t="s">
        <v>934</v>
      </c>
      <c r="O157" s="22"/>
      <c r="P157" s="29" t="s">
        <v>171</v>
      </c>
    </row>
    <row r="158" spans="1:16" ht="21" x14ac:dyDescent="0.3">
      <c r="A158" s="28">
        <f>WEEKNUM(Table1[[#This Row],[Date]])</f>
        <v>3</v>
      </c>
      <c r="B158" s="35" t="s">
        <v>24</v>
      </c>
      <c r="C158" s="31">
        <v>46037</v>
      </c>
      <c r="D158" s="26" t="s">
        <v>11</v>
      </c>
      <c r="E158" s="22" t="s">
        <v>18</v>
      </c>
      <c r="F158" s="28" t="s">
        <v>282</v>
      </c>
      <c r="G158" s="28" t="s">
        <v>8</v>
      </c>
      <c r="H158" s="24">
        <v>1</v>
      </c>
      <c r="I158" s="24">
        <v>1</v>
      </c>
      <c r="J158" s="28" t="s">
        <v>9</v>
      </c>
      <c r="K158" s="28" t="s">
        <v>740</v>
      </c>
      <c r="L158" s="28" t="s">
        <v>36</v>
      </c>
      <c r="M158" s="28">
        <v>251661</v>
      </c>
      <c r="N158" s="22" t="s">
        <v>169</v>
      </c>
      <c r="O158" s="22" t="s">
        <v>283</v>
      </c>
      <c r="P158" s="29" t="s">
        <v>11</v>
      </c>
    </row>
    <row r="159" spans="1:16" ht="21" x14ac:dyDescent="0.3">
      <c r="A159" s="28">
        <f>WEEKNUM(Table1[[#This Row],[Date]])</f>
        <v>3</v>
      </c>
      <c r="B159" s="35" t="s">
        <v>24</v>
      </c>
      <c r="C159" s="31">
        <v>46037</v>
      </c>
      <c r="D159" s="26" t="s">
        <v>11</v>
      </c>
      <c r="E159" s="22" t="s">
        <v>18</v>
      </c>
      <c r="F159" s="28" t="s">
        <v>196</v>
      </c>
      <c r="G159" s="28" t="s">
        <v>27</v>
      </c>
      <c r="H159" s="24">
        <v>77</v>
      </c>
      <c r="I159" s="24">
        <v>1</v>
      </c>
      <c r="J159" s="28" t="s">
        <v>87</v>
      </c>
      <c r="K159" s="28" t="s">
        <v>349</v>
      </c>
      <c r="L159" s="28" t="s">
        <v>52</v>
      </c>
      <c r="M159" s="28">
        <v>251662</v>
      </c>
      <c r="N159" s="22" t="s">
        <v>166</v>
      </c>
      <c r="O159" s="22" t="s">
        <v>284</v>
      </c>
      <c r="P159" s="29" t="s">
        <v>11</v>
      </c>
    </row>
    <row r="160" spans="1:16" ht="21" x14ac:dyDescent="0.3">
      <c r="A160" s="28">
        <f>WEEKNUM(Table1[[#This Row],[Date]])</f>
        <v>3</v>
      </c>
      <c r="B160" s="35" t="s">
        <v>24</v>
      </c>
      <c r="C160" s="31">
        <v>46037</v>
      </c>
      <c r="D160" s="26" t="s">
        <v>11</v>
      </c>
      <c r="E160" s="22" t="s">
        <v>18</v>
      </c>
      <c r="F160" s="28" t="s">
        <v>190</v>
      </c>
      <c r="G160" s="28" t="s">
        <v>8</v>
      </c>
      <c r="H160" s="24">
        <v>2</v>
      </c>
      <c r="I160" s="24">
        <v>0</v>
      </c>
      <c r="J160" s="28"/>
      <c r="K160" s="28" t="s">
        <v>934</v>
      </c>
      <c r="L160" s="28" t="s">
        <v>934</v>
      </c>
      <c r="M160" s="28"/>
      <c r="N160" s="28" t="s">
        <v>934</v>
      </c>
      <c r="O160" s="22"/>
      <c r="P160" s="29" t="s">
        <v>171</v>
      </c>
    </row>
    <row r="161" spans="1:16" ht="21" x14ac:dyDescent="0.3">
      <c r="A161" s="28">
        <f>WEEKNUM(Table1[[#This Row],[Date]])</f>
        <v>3</v>
      </c>
      <c r="B161" s="35" t="s">
        <v>24</v>
      </c>
      <c r="C161" s="31">
        <v>46037</v>
      </c>
      <c r="D161" s="26" t="s">
        <v>11</v>
      </c>
      <c r="E161" s="22" t="s">
        <v>25</v>
      </c>
      <c r="F161" s="28" t="s">
        <v>285</v>
      </c>
      <c r="G161" s="28" t="s">
        <v>27</v>
      </c>
      <c r="H161" s="24">
        <v>32</v>
      </c>
      <c r="I161" s="24">
        <v>1</v>
      </c>
      <c r="J161" s="28" t="s">
        <v>12</v>
      </c>
      <c r="K161" s="28" t="s">
        <v>353</v>
      </c>
      <c r="L161" s="28" t="s">
        <v>13</v>
      </c>
      <c r="M161" s="28">
        <v>251663</v>
      </c>
      <c r="N161" s="22" t="s">
        <v>166</v>
      </c>
      <c r="O161" s="22"/>
      <c r="P161" s="29" t="s">
        <v>14</v>
      </c>
    </row>
    <row r="162" spans="1:16" ht="21" x14ac:dyDescent="0.3">
      <c r="A162" s="28">
        <f>WEEKNUM(Table1[[#This Row],[Date]])</f>
        <v>3</v>
      </c>
      <c r="B162" s="35" t="s">
        <v>24</v>
      </c>
      <c r="C162" s="31">
        <v>46037</v>
      </c>
      <c r="D162" s="26" t="s">
        <v>11</v>
      </c>
      <c r="E162" s="22" t="s">
        <v>25</v>
      </c>
      <c r="F162" s="28" t="s">
        <v>225</v>
      </c>
      <c r="G162" s="28" t="s">
        <v>8</v>
      </c>
      <c r="H162" s="24">
        <v>5</v>
      </c>
      <c r="I162" s="24">
        <v>0</v>
      </c>
      <c r="J162" s="28"/>
      <c r="K162" s="28" t="s">
        <v>934</v>
      </c>
      <c r="L162" s="28" t="s">
        <v>934</v>
      </c>
      <c r="M162" s="28"/>
      <c r="N162" s="28" t="s">
        <v>934</v>
      </c>
      <c r="O162" s="22"/>
      <c r="P162" s="29" t="s">
        <v>171</v>
      </c>
    </row>
    <row r="163" spans="1:16" ht="21" x14ac:dyDescent="0.3">
      <c r="A163" s="28">
        <f>WEEKNUM(Table1[[#This Row],[Date]])</f>
        <v>3</v>
      </c>
      <c r="B163" s="35" t="s">
        <v>24</v>
      </c>
      <c r="C163" s="31">
        <v>46037</v>
      </c>
      <c r="D163" s="26" t="s">
        <v>11</v>
      </c>
      <c r="E163" s="22" t="s">
        <v>25</v>
      </c>
      <c r="F163" s="28" t="s">
        <v>163</v>
      </c>
      <c r="G163" s="28" t="s">
        <v>27</v>
      </c>
      <c r="H163" s="24">
        <v>21</v>
      </c>
      <c r="I163" s="24">
        <v>0</v>
      </c>
      <c r="J163" s="28"/>
      <c r="K163" s="28" t="s">
        <v>934</v>
      </c>
      <c r="L163" s="28" t="s">
        <v>934</v>
      </c>
      <c r="M163" s="28"/>
      <c r="N163" s="28" t="s">
        <v>934</v>
      </c>
      <c r="O163" s="22"/>
      <c r="P163" s="29" t="s">
        <v>171</v>
      </c>
    </row>
    <row r="164" spans="1:16" ht="21" x14ac:dyDescent="0.3">
      <c r="A164" s="28">
        <f>WEEKNUM(Table1[[#This Row],[Date]])</f>
        <v>3</v>
      </c>
      <c r="B164" s="35" t="s">
        <v>24</v>
      </c>
      <c r="C164" s="31">
        <v>46037</v>
      </c>
      <c r="D164" s="26" t="s">
        <v>286</v>
      </c>
      <c r="E164" s="22" t="s">
        <v>38</v>
      </c>
      <c r="F164" s="28" t="s">
        <v>287</v>
      </c>
      <c r="G164" s="28" t="s">
        <v>27</v>
      </c>
      <c r="H164" s="24"/>
      <c r="I164" s="24">
        <v>1</v>
      </c>
      <c r="J164" s="28" t="s">
        <v>12</v>
      </c>
      <c r="K164" s="28" t="s">
        <v>61</v>
      </c>
      <c r="L164" s="28" t="s">
        <v>159</v>
      </c>
      <c r="M164" s="28">
        <v>202302614</v>
      </c>
      <c r="N164" s="22" t="s">
        <v>164</v>
      </c>
      <c r="O164" s="22" t="s">
        <v>256</v>
      </c>
      <c r="P164" s="29" t="s">
        <v>16</v>
      </c>
    </row>
    <row r="165" spans="1:16" ht="21" x14ac:dyDescent="0.3">
      <c r="A165" s="28">
        <f>WEEKNUM(Table1[[#This Row],[Date]])</f>
        <v>3</v>
      </c>
      <c r="B165" s="35" t="s">
        <v>24</v>
      </c>
      <c r="C165" s="31">
        <v>46037</v>
      </c>
      <c r="D165" s="26" t="s">
        <v>332</v>
      </c>
      <c r="E165" s="22" t="s">
        <v>38</v>
      </c>
      <c r="F165" s="28" t="s">
        <v>288</v>
      </c>
      <c r="G165" s="28" t="s">
        <v>27</v>
      </c>
      <c r="H165" s="24"/>
      <c r="I165" s="24">
        <v>1</v>
      </c>
      <c r="J165" s="28" t="s">
        <v>12</v>
      </c>
      <c r="K165" s="28" t="s">
        <v>351</v>
      </c>
      <c r="L165" s="28" t="s">
        <v>159</v>
      </c>
      <c r="M165" s="28">
        <v>202302615</v>
      </c>
      <c r="N165" s="22" t="s">
        <v>164</v>
      </c>
      <c r="O165" s="22" t="s">
        <v>256</v>
      </c>
      <c r="P165" s="29" t="s">
        <v>46</v>
      </c>
    </row>
    <row r="166" spans="1:16" ht="21" x14ac:dyDescent="0.3">
      <c r="A166" s="28">
        <f>WEEKNUM(Table1[[#This Row],[Date]])</f>
        <v>3</v>
      </c>
      <c r="B166" s="35" t="s">
        <v>24</v>
      </c>
      <c r="C166" s="31">
        <v>46037</v>
      </c>
      <c r="D166" s="26" t="s">
        <v>332</v>
      </c>
      <c r="E166" s="22" t="s">
        <v>38</v>
      </c>
      <c r="F166" s="28" t="s">
        <v>289</v>
      </c>
      <c r="G166" s="28" t="s">
        <v>8</v>
      </c>
      <c r="H166" s="24"/>
      <c r="I166" s="24">
        <v>1</v>
      </c>
      <c r="J166" s="28" t="s">
        <v>291</v>
      </c>
      <c r="K166" s="28" t="s">
        <v>353</v>
      </c>
      <c r="L166" s="28" t="s">
        <v>19</v>
      </c>
      <c r="M166" s="28">
        <v>202302616</v>
      </c>
      <c r="N166" s="22" t="s">
        <v>164</v>
      </c>
      <c r="O166" s="22" t="s">
        <v>290</v>
      </c>
      <c r="P166" s="29" t="s">
        <v>14</v>
      </c>
    </row>
    <row r="167" spans="1:16" ht="21" x14ac:dyDescent="0.3">
      <c r="A167" s="28">
        <f>WEEKNUM(Table1[[#This Row],[Date]])</f>
        <v>3</v>
      </c>
      <c r="B167" s="35" t="s">
        <v>24</v>
      </c>
      <c r="C167" s="31">
        <v>46038</v>
      </c>
      <c r="D167" s="26" t="s">
        <v>11</v>
      </c>
      <c r="E167" s="22" t="s">
        <v>18</v>
      </c>
      <c r="F167" s="28" t="s">
        <v>293</v>
      </c>
      <c r="G167" s="28" t="s">
        <v>8</v>
      </c>
      <c r="H167" s="24">
        <v>3</v>
      </c>
      <c r="I167" s="24">
        <v>0</v>
      </c>
      <c r="J167" s="28"/>
      <c r="K167" s="28" t="s">
        <v>934</v>
      </c>
      <c r="L167" s="28" t="s">
        <v>934</v>
      </c>
      <c r="M167" s="28"/>
      <c r="N167" s="28" t="s">
        <v>934</v>
      </c>
      <c r="O167" s="22"/>
      <c r="P167" s="29" t="s">
        <v>171</v>
      </c>
    </row>
    <row r="168" spans="1:16" ht="21" x14ac:dyDescent="0.3">
      <c r="A168" s="28">
        <f>WEEKNUM(Table1[[#This Row],[Date]])</f>
        <v>3</v>
      </c>
      <c r="B168" s="35" t="s">
        <v>24</v>
      </c>
      <c r="C168" s="31">
        <v>46038</v>
      </c>
      <c r="D168" s="26" t="s">
        <v>11</v>
      </c>
      <c r="E168" s="22" t="s">
        <v>18</v>
      </c>
      <c r="F168" s="28" t="s">
        <v>294</v>
      </c>
      <c r="G168" s="28" t="s">
        <v>8</v>
      </c>
      <c r="H168" s="24">
        <v>4</v>
      </c>
      <c r="I168" s="24">
        <v>0</v>
      </c>
      <c r="J168" s="28"/>
      <c r="K168" s="28" t="s">
        <v>934</v>
      </c>
      <c r="L168" s="28" t="s">
        <v>934</v>
      </c>
      <c r="M168" s="28"/>
      <c r="N168" s="28" t="s">
        <v>934</v>
      </c>
      <c r="O168" s="22"/>
      <c r="P168" s="29" t="s">
        <v>171</v>
      </c>
    </row>
    <row r="169" spans="1:16" ht="36" x14ac:dyDescent="0.3">
      <c r="A169" s="28">
        <f>WEEKNUM(Table1[[#This Row],[Date]])</f>
        <v>3</v>
      </c>
      <c r="B169" s="35" t="s">
        <v>24</v>
      </c>
      <c r="C169" s="31">
        <v>46038</v>
      </c>
      <c r="D169" s="26" t="s">
        <v>11</v>
      </c>
      <c r="E169" s="22" t="s">
        <v>18</v>
      </c>
      <c r="F169" s="28" t="s">
        <v>295</v>
      </c>
      <c r="G169" s="28" t="s">
        <v>8</v>
      </c>
      <c r="H169" s="24">
        <v>6</v>
      </c>
      <c r="I169" s="24">
        <v>1</v>
      </c>
      <c r="J169" s="28" t="s">
        <v>17</v>
      </c>
      <c r="K169" s="28" t="s">
        <v>347</v>
      </c>
      <c r="L169" s="28" t="s">
        <v>296</v>
      </c>
      <c r="M169" s="28">
        <v>251664</v>
      </c>
      <c r="N169" s="22" t="s">
        <v>166</v>
      </c>
      <c r="O169" s="22" t="s">
        <v>297</v>
      </c>
      <c r="P169" s="29" t="s">
        <v>11</v>
      </c>
    </row>
    <row r="170" spans="1:16" ht="21" x14ac:dyDescent="0.3">
      <c r="A170" s="28">
        <f>WEEKNUM(Table1[[#This Row],[Date]])</f>
        <v>3</v>
      </c>
      <c r="B170" s="35" t="s">
        <v>24</v>
      </c>
      <c r="C170" s="31">
        <v>46038</v>
      </c>
      <c r="D170" s="26" t="s">
        <v>11</v>
      </c>
      <c r="E170" s="22" t="s">
        <v>18</v>
      </c>
      <c r="F170" s="28" t="s">
        <v>298</v>
      </c>
      <c r="G170" s="28" t="s">
        <v>8</v>
      </c>
      <c r="H170" s="24">
        <v>3</v>
      </c>
      <c r="I170" s="24">
        <v>0</v>
      </c>
      <c r="J170" s="28"/>
      <c r="K170" s="28" t="s">
        <v>934</v>
      </c>
      <c r="L170" s="28" t="s">
        <v>934</v>
      </c>
      <c r="M170" s="28"/>
      <c r="N170" s="28" t="s">
        <v>934</v>
      </c>
      <c r="O170" s="22"/>
      <c r="P170" s="29" t="s">
        <v>171</v>
      </c>
    </row>
    <row r="171" spans="1:16" ht="21" x14ac:dyDescent="0.3">
      <c r="A171" s="28">
        <f>WEEKNUM(Table1[[#This Row],[Date]])</f>
        <v>3</v>
      </c>
      <c r="B171" s="35" t="s">
        <v>24</v>
      </c>
      <c r="C171" s="31">
        <v>46038</v>
      </c>
      <c r="D171" s="26" t="s">
        <v>11</v>
      </c>
      <c r="E171" s="22" t="s">
        <v>18</v>
      </c>
      <c r="F171" s="28" t="s">
        <v>299</v>
      </c>
      <c r="G171" s="28" t="s">
        <v>8</v>
      </c>
      <c r="H171" s="24">
        <v>6</v>
      </c>
      <c r="I171" s="24">
        <v>1</v>
      </c>
      <c r="J171" s="28" t="s">
        <v>9</v>
      </c>
      <c r="K171" s="28" t="s">
        <v>61</v>
      </c>
      <c r="L171" s="28" t="s">
        <v>159</v>
      </c>
      <c r="M171" s="28">
        <v>251665</v>
      </c>
      <c r="N171" s="22" t="s">
        <v>164</v>
      </c>
      <c r="O171" s="22" t="s">
        <v>300</v>
      </c>
      <c r="P171" s="29" t="s">
        <v>16</v>
      </c>
    </row>
    <row r="172" spans="1:16" ht="21" x14ac:dyDescent="0.3">
      <c r="A172" s="28">
        <f>WEEKNUM(Table1[[#This Row],[Date]])</f>
        <v>3</v>
      </c>
      <c r="B172" s="35" t="s">
        <v>24</v>
      </c>
      <c r="C172" s="31">
        <v>46038</v>
      </c>
      <c r="D172" s="26" t="s">
        <v>11</v>
      </c>
      <c r="E172" s="22" t="s">
        <v>18</v>
      </c>
      <c r="F172" s="28" t="s">
        <v>301</v>
      </c>
      <c r="G172" s="28" t="s">
        <v>8</v>
      </c>
      <c r="H172" s="24">
        <v>4</v>
      </c>
      <c r="I172" s="24">
        <v>1</v>
      </c>
      <c r="J172" s="28" t="s">
        <v>12</v>
      </c>
      <c r="K172" s="28" t="s">
        <v>61</v>
      </c>
      <c r="L172" s="28" t="s">
        <v>39</v>
      </c>
      <c r="M172" s="28">
        <v>251666</v>
      </c>
      <c r="N172" s="22" t="s">
        <v>166</v>
      </c>
      <c r="O172" s="22" t="s">
        <v>302</v>
      </c>
      <c r="P172" s="29" t="s">
        <v>16</v>
      </c>
    </row>
    <row r="173" spans="1:16" ht="21" x14ac:dyDescent="0.3">
      <c r="A173" s="28">
        <f>WEEKNUM(Table1[[#This Row],[Date]])</f>
        <v>3</v>
      </c>
      <c r="B173" s="35" t="s">
        <v>24</v>
      </c>
      <c r="C173" s="31">
        <v>46038</v>
      </c>
      <c r="D173" s="26" t="s">
        <v>11</v>
      </c>
      <c r="E173" s="22" t="s">
        <v>18</v>
      </c>
      <c r="F173" s="28" t="s">
        <v>303</v>
      </c>
      <c r="G173" s="28" t="s">
        <v>27</v>
      </c>
      <c r="H173" s="24">
        <v>12</v>
      </c>
      <c r="I173" s="24">
        <v>0</v>
      </c>
      <c r="J173" s="28"/>
      <c r="K173" s="28" t="s">
        <v>934</v>
      </c>
      <c r="L173" s="28" t="s">
        <v>934</v>
      </c>
      <c r="M173" s="28"/>
      <c r="N173" s="28" t="s">
        <v>934</v>
      </c>
      <c r="O173" s="22"/>
      <c r="P173" s="29" t="s">
        <v>171</v>
      </c>
    </row>
    <row r="174" spans="1:16" ht="21" x14ac:dyDescent="0.3">
      <c r="A174" s="28">
        <f>WEEKNUM(Table1[[#This Row],[Date]])</f>
        <v>3</v>
      </c>
      <c r="B174" s="35" t="s">
        <v>24</v>
      </c>
      <c r="C174" s="31">
        <v>46038</v>
      </c>
      <c r="D174" s="26" t="s">
        <v>11</v>
      </c>
      <c r="E174" s="22" t="s">
        <v>18</v>
      </c>
      <c r="F174" s="28" t="s">
        <v>304</v>
      </c>
      <c r="G174" s="28" t="s">
        <v>27</v>
      </c>
      <c r="H174" s="24">
        <v>28</v>
      </c>
      <c r="I174" s="24">
        <v>0</v>
      </c>
      <c r="J174" s="28"/>
      <c r="K174" s="28" t="s">
        <v>934</v>
      </c>
      <c r="L174" s="28" t="s">
        <v>934</v>
      </c>
      <c r="M174" s="28"/>
      <c r="N174" s="28" t="s">
        <v>934</v>
      </c>
      <c r="O174" s="22"/>
      <c r="P174" s="29" t="s">
        <v>171</v>
      </c>
    </row>
    <row r="175" spans="1:16" ht="21" x14ac:dyDescent="0.3">
      <c r="A175" s="28">
        <f>WEEKNUM(Table1[[#This Row],[Date]])</f>
        <v>3</v>
      </c>
      <c r="B175" s="35" t="s">
        <v>24</v>
      </c>
      <c r="C175" s="31">
        <v>46038</v>
      </c>
      <c r="D175" s="26" t="s">
        <v>11</v>
      </c>
      <c r="E175" s="22" t="s">
        <v>18</v>
      </c>
      <c r="F175" s="28" t="s">
        <v>116</v>
      </c>
      <c r="G175" s="28" t="s">
        <v>27</v>
      </c>
      <c r="H175" s="24">
        <v>8</v>
      </c>
      <c r="I175" s="24">
        <v>1</v>
      </c>
      <c r="J175" s="28" t="s">
        <v>9</v>
      </c>
      <c r="K175" s="28" t="s">
        <v>349</v>
      </c>
      <c r="L175" s="28" t="s">
        <v>52</v>
      </c>
      <c r="M175" s="28">
        <v>251667</v>
      </c>
      <c r="N175" s="22" t="s">
        <v>166</v>
      </c>
      <c r="O175" s="22" t="s">
        <v>305</v>
      </c>
      <c r="P175" s="29" t="s">
        <v>11</v>
      </c>
    </row>
    <row r="176" spans="1:16" ht="21" x14ac:dyDescent="0.3">
      <c r="A176" s="28">
        <f>WEEKNUM(Table1[[#This Row],[Date]])</f>
        <v>3</v>
      </c>
      <c r="B176" s="35" t="s">
        <v>24</v>
      </c>
      <c r="C176" s="31">
        <v>46038</v>
      </c>
      <c r="D176" s="26" t="s">
        <v>11</v>
      </c>
      <c r="E176" s="22" t="s">
        <v>18</v>
      </c>
      <c r="F176" s="28" t="s">
        <v>282</v>
      </c>
      <c r="G176" s="28" t="s">
        <v>8</v>
      </c>
      <c r="H176" s="24">
        <v>7</v>
      </c>
      <c r="I176" s="24">
        <v>0</v>
      </c>
      <c r="J176" s="28"/>
      <c r="K176" s="28" t="s">
        <v>934</v>
      </c>
      <c r="L176" s="28" t="s">
        <v>934</v>
      </c>
      <c r="M176" s="28"/>
      <c r="N176" s="28" t="s">
        <v>934</v>
      </c>
      <c r="O176" s="22"/>
      <c r="P176" s="29" t="s">
        <v>171</v>
      </c>
    </row>
    <row r="177" spans="1:16" ht="21" x14ac:dyDescent="0.3">
      <c r="A177" s="28">
        <f>WEEKNUM(Table1[[#This Row],[Date]])</f>
        <v>3</v>
      </c>
      <c r="B177" s="35" t="s">
        <v>24</v>
      </c>
      <c r="C177" s="31">
        <v>46038</v>
      </c>
      <c r="D177" s="26" t="s">
        <v>11</v>
      </c>
      <c r="E177" s="22" t="s">
        <v>18</v>
      </c>
      <c r="F177" s="28" t="s">
        <v>306</v>
      </c>
      <c r="G177" s="28" t="s">
        <v>8</v>
      </c>
      <c r="H177" s="24">
        <v>1</v>
      </c>
      <c r="I177" s="24">
        <v>1</v>
      </c>
      <c r="J177" s="28" t="s">
        <v>87</v>
      </c>
      <c r="K177" s="28" t="s">
        <v>351</v>
      </c>
      <c r="L177" s="28" t="s">
        <v>159</v>
      </c>
      <c r="M177" s="28">
        <v>251668</v>
      </c>
      <c r="N177" s="22" t="s">
        <v>164</v>
      </c>
      <c r="O177" s="22" t="s">
        <v>307</v>
      </c>
      <c r="P177" s="29" t="s">
        <v>11</v>
      </c>
    </row>
    <row r="178" spans="1:16" ht="21" x14ac:dyDescent="0.3">
      <c r="A178" s="28">
        <f>WEEKNUM(Table1[[#This Row],[Date]])</f>
        <v>3</v>
      </c>
      <c r="B178" s="35" t="s">
        <v>24</v>
      </c>
      <c r="C178" s="31">
        <v>46038</v>
      </c>
      <c r="D178" s="26" t="s">
        <v>11</v>
      </c>
      <c r="E178" s="22" t="s">
        <v>25</v>
      </c>
      <c r="F178" s="28" t="s">
        <v>211</v>
      </c>
      <c r="G178" s="28" t="s">
        <v>27</v>
      </c>
      <c r="H178" s="24">
        <v>8</v>
      </c>
      <c r="I178" s="24">
        <v>0</v>
      </c>
      <c r="J178" s="28"/>
      <c r="K178" s="28" t="s">
        <v>934</v>
      </c>
      <c r="L178" s="28" t="s">
        <v>934</v>
      </c>
      <c r="M178" s="28"/>
      <c r="N178" s="28" t="s">
        <v>934</v>
      </c>
      <c r="O178" s="22"/>
      <c r="P178" s="29" t="s">
        <v>171</v>
      </c>
    </row>
    <row r="179" spans="1:16" ht="21" x14ac:dyDescent="0.3">
      <c r="A179" s="28">
        <f>WEEKNUM(Table1[[#This Row],[Date]])</f>
        <v>3</v>
      </c>
      <c r="B179" s="35" t="s">
        <v>24</v>
      </c>
      <c r="C179" s="31">
        <v>46038</v>
      </c>
      <c r="D179" s="26" t="s">
        <v>11</v>
      </c>
      <c r="E179" s="22" t="s">
        <v>25</v>
      </c>
      <c r="F179" s="28" t="s">
        <v>308</v>
      </c>
      <c r="G179" s="28" t="s">
        <v>8</v>
      </c>
      <c r="H179" s="24">
        <v>5</v>
      </c>
      <c r="I179" s="24">
        <v>1</v>
      </c>
      <c r="J179" s="28"/>
      <c r="K179" s="28" t="s">
        <v>934</v>
      </c>
      <c r="L179" s="28" t="s">
        <v>934</v>
      </c>
      <c r="M179" s="28"/>
      <c r="N179" s="28" t="s">
        <v>934</v>
      </c>
      <c r="O179" s="22"/>
      <c r="P179" s="29" t="s">
        <v>171</v>
      </c>
    </row>
    <row r="180" spans="1:16" ht="21" x14ac:dyDescent="0.3">
      <c r="A180" s="28">
        <f>WEEKNUM(Table1[[#This Row],[Date]])</f>
        <v>3</v>
      </c>
      <c r="B180" s="35" t="s">
        <v>24</v>
      </c>
      <c r="C180" s="31">
        <v>46038</v>
      </c>
      <c r="D180" s="26" t="s">
        <v>11</v>
      </c>
      <c r="E180" s="22" t="s">
        <v>25</v>
      </c>
      <c r="F180" s="28" t="s">
        <v>309</v>
      </c>
      <c r="G180" s="28" t="s">
        <v>8</v>
      </c>
      <c r="H180" s="24">
        <v>1</v>
      </c>
      <c r="I180" s="24">
        <v>1</v>
      </c>
      <c r="J180" s="28" t="s">
        <v>12</v>
      </c>
      <c r="K180" s="28" t="s">
        <v>61</v>
      </c>
      <c r="L180" s="28" t="s">
        <v>201</v>
      </c>
      <c r="M180" s="28">
        <v>251669</v>
      </c>
      <c r="N180" s="22" t="s">
        <v>166</v>
      </c>
      <c r="O180" s="22"/>
      <c r="P180" s="29" t="s">
        <v>16</v>
      </c>
    </row>
    <row r="181" spans="1:16" ht="21" x14ac:dyDescent="0.3">
      <c r="A181" s="28">
        <f>WEEKNUM(Table1[[#This Row],[Date]])</f>
        <v>3</v>
      </c>
      <c r="B181" s="35" t="s">
        <v>24</v>
      </c>
      <c r="C181" s="31">
        <v>46038</v>
      </c>
      <c r="D181" s="26" t="s">
        <v>11</v>
      </c>
      <c r="E181" s="22" t="s">
        <v>25</v>
      </c>
      <c r="F181" s="28" t="s">
        <v>310</v>
      </c>
      <c r="G181" s="28" t="s">
        <v>8</v>
      </c>
      <c r="H181" s="24">
        <v>9</v>
      </c>
      <c r="I181" s="24">
        <v>1</v>
      </c>
      <c r="J181" s="28" t="s">
        <v>273</v>
      </c>
      <c r="K181" s="28" t="s">
        <v>353</v>
      </c>
      <c r="L181" s="28" t="s">
        <v>28</v>
      </c>
      <c r="M181" s="28">
        <v>251670</v>
      </c>
      <c r="N181" s="22" t="s">
        <v>166</v>
      </c>
      <c r="O181" s="22"/>
      <c r="P181" s="29" t="s">
        <v>14</v>
      </c>
    </row>
    <row r="182" spans="1:16" ht="21" x14ac:dyDescent="0.3">
      <c r="A182" s="28">
        <f>WEEKNUM(Table1[[#This Row],[Date]])</f>
        <v>3</v>
      </c>
      <c r="B182" s="35" t="s">
        <v>24</v>
      </c>
      <c r="C182" s="31">
        <v>46038</v>
      </c>
      <c r="D182" s="26" t="s">
        <v>11</v>
      </c>
      <c r="E182" s="22" t="s">
        <v>25</v>
      </c>
      <c r="F182" s="28" t="s">
        <v>310</v>
      </c>
      <c r="G182" s="28" t="s">
        <v>8</v>
      </c>
      <c r="H182" s="24">
        <v>1</v>
      </c>
      <c r="I182" s="24">
        <v>1</v>
      </c>
      <c r="J182" s="28" t="s">
        <v>229</v>
      </c>
      <c r="K182" s="28" t="s">
        <v>348</v>
      </c>
      <c r="L182" s="28" t="s">
        <v>19</v>
      </c>
      <c r="M182" s="28">
        <v>251670</v>
      </c>
      <c r="N182" s="22" t="s">
        <v>166</v>
      </c>
      <c r="O182" s="22" t="s">
        <v>311</v>
      </c>
      <c r="P182" s="29" t="s">
        <v>11</v>
      </c>
    </row>
    <row r="183" spans="1:16" ht="31.2" x14ac:dyDescent="0.3">
      <c r="A183" s="28">
        <f>WEEKNUM(Table1[[#This Row],[Date]])</f>
        <v>3</v>
      </c>
      <c r="B183" s="35" t="s">
        <v>24</v>
      </c>
      <c r="C183" s="31">
        <v>46038</v>
      </c>
      <c r="D183" s="26" t="s">
        <v>11</v>
      </c>
      <c r="E183" s="22" t="s">
        <v>25</v>
      </c>
      <c r="F183" s="28" t="s">
        <v>312</v>
      </c>
      <c r="G183" s="28" t="s">
        <v>27</v>
      </c>
      <c r="H183" s="24">
        <v>36</v>
      </c>
      <c r="I183" s="24">
        <v>1</v>
      </c>
      <c r="J183" s="28" t="s">
        <v>12</v>
      </c>
      <c r="K183" s="28" t="s">
        <v>348</v>
      </c>
      <c r="L183" s="28" t="s">
        <v>19</v>
      </c>
      <c r="M183" s="28">
        <v>251671</v>
      </c>
      <c r="N183" s="22" t="s">
        <v>166</v>
      </c>
      <c r="O183" s="22" t="s">
        <v>313</v>
      </c>
      <c r="P183" s="29" t="s">
        <v>11</v>
      </c>
    </row>
    <row r="184" spans="1:16" ht="21" x14ac:dyDescent="0.3">
      <c r="A184" s="28">
        <f>WEEKNUM(Table1[[#This Row],[Date]])</f>
        <v>3</v>
      </c>
      <c r="B184" s="35" t="s">
        <v>24</v>
      </c>
      <c r="C184" s="31">
        <v>46038</v>
      </c>
      <c r="D184" s="26" t="s">
        <v>11</v>
      </c>
      <c r="E184" s="22" t="s">
        <v>25</v>
      </c>
      <c r="F184" s="28" t="s">
        <v>314</v>
      </c>
      <c r="G184" s="28" t="s">
        <v>8</v>
      </c>
      <c r="H184" s="24">
        <v>5</v>
      </c>
      <c r="I184" s="24">
        <v>1</v>
      </c>
      <c r="J184" s="28" t="s">
        <v>12</v>
      </c>
      <c r="K184" s="28" t="s">
        <v>349</v>
      </c>
      <c r="L184" s="28" t="s">
        <v>13</v>
      </c>
      <c r="M184" s="28">
        <v>251672</v>
      </c>
      <c r="N184" s="22" t="s">
        <v>166</v>
      </c>
      <c r="O184" s="22" t="s">
        <v>315</v>
      </c>
      <c r="P184" s="29" t="s">
        <v>11</v>
      </c>
    </row>
    <row r="185" spans="1:16" ht="21" x14ac:dyDescent="0.3">
      <c r="A185" s="28">
        <f>WEEKNUM(Table1[[#This Row],[Date]])</f>
        <v>3</v>
      </c>
      <c r="B185" s="35" t="s">
        <v>24</v>
      </c>
      <c r="C185" s="31">
        <v>46038</v>
      </c>
      <c r="D185" s="26" t="s">
        <v>11</v>
      </c>
      <c r="E185" s="22" t="s">
        <v>25</v>
      </c>
      <c r="F185" s="28" t="s">
        <v>306</v>
      </c>
      <c r="G185" s="28" t="s">
        <v>8</v>
      </c>
      <c r="H185" s="24">
        <v>6</v>
      </c>
      <c r="I185" s="24">
        <v>0</v>
      </c>
      <c r="J185" s="28"/>
      <c r="K185" s="28" t="s">
        <v>934</v>
      </c>
      <c r="L185" s="28" t="s">
        <v>934</v>
      </c>
      <c r="M185" s="28"/>
      <c r="N185" s="28" t="s">
        <v>934</v>
      </c>
      <c r="O185" s="22"/>
      <c r="P185" s="29" t="s">
        <v>171</v>
      </c>
    </row>
    <row r="186" spans="1:16" ht="21" x14ac:dyDescent="0.3">
      <c r="A186" s="28">
        <f>WEEKNUM(Table1[[#This Row],[Date]])</f>
        <v>4</v>
      </c>
      <c r="B186" s="35" t="s">
        <v>24</v>
      </c>
      <c r="C186" s="31">
        <v>46041</v>
      </c>
      <c r="D186" s="26" t="s">
        <v>11</v>
      </c>
      <c r="E186" s="22" t="s">
        <v>25</v>
      </c>
      <c r="F186" s="28" t="s">
        <v>222</v>
      </c>
      <c r="G186" s="28" t="s">
        <v>27</v>
      </c>
      <c r="H186" s="24">
        <v>27</v>
      </c>
      <c r="I186" s="24">
        <v>0</v>
      </c>
      <c r="J186" s="28"/>
      <c r="K186" s="28" t="s">
        <v>934</v>
      </c>
      <c r="L186" s="28" t="s">
        <v>934</v>
      </c>
      <c r="M186" s="28"/>
      <c r="N186" s="28" t="s">
        <v>934</v>
      </c>
      <c r="O186" s="22"/>
      <c r="P186" s="29" t="s">
        <v>171</v>
      </c>
    </row>
    <row r="187" spans="1:16" ht="21" x14ac:dyDescent="0.3">
      <c r="A187" s="28">
        <f>WEEKNUM(Table1[[#This Row],[Date]])</f>
        <v>4</v>
      </c>
      <c r="B187" s="35" t="s">
        <v>24</v>
      </c>
      <c r="C187" s="31">
        <v>46041</v>
      </c>
      <c r="D187" s="26" t="s">
        <v>11</v>
      </c>
      <c r="E187" s="22" t="s">
        <v>25</v>
      </c>
      <c r="F187" s="28" t="s">
        <v>316</v>
      </c>
      <c r="G187" s="28" t="s">
        <v>27</v>
      </c>
      <c r="H187" s="24">
        <v>18</v>
      </c>
      <c r="I187" s="24">
        <v>0</v>
      </c>
      <c r="J187" s="28"/>
      <c r="K187" s="28" t="s">
        <v>934</v>
      </c>
      <c r="L187" s="28" t="s">
        <v>934</v>
      </c>
      <c r="M187" s="28"/>
      <c r="N187" s="28" t="s">
        <v>934</v>
      </c>
      <c r="O187" s="22"/>
      <c r="P187" s="29" t="s">
        <v>171</v>
      </c>
    </row>
    <row r="188" spans="1:16" ht="21" x14ac:dyDescent="0.3">
      <c r="A188" s="28">
        <f>WEEKNUM(Table1[[#This Row],[Date]])</f>
        <v>4</v>
      </c>
      <c r="B188" s="35" t="s">
        <v>24</v>
      </c>
      <c r="C188" s="31">
        <v>46041</v>
      </c>
      <c r="D188" s="26" t="s">
        <v>11</v>
      </c>
      <c r="E188" s="22" t="s">
        <v>25</v>
      </c>
      <c r="F188" s="28" t="s">
        <v>317</v>
      </c>
      <c r="G188" s="28" t="s">
        <v>27</v>
      </c>
      <c r="H188" s="24">
        <v>9</v>
      </c>
      <c r="I188" s="24">
        <v>0</v>
      </c>
      <c r="J188" s="28"/>
      <c r="K188" s="28" t="s">
        <v>934</v>
      </c>
      <c r="L188" s="28" t="s">
        <v>934</v>
      </c>
      <c r="M188" s="28"/>
      <c r="N188" s="28" t="s">
        <v>934</v>
      </c>
      <c r="O188" s="22"/>
      <c r="P188" s="29" t="s">
        <v>171</v>
      </c>
    </row>
    <row r="189" spans="1:16" ht="21" x14ac:dyDescent="0.3">
      <c r="A189" s="28">
        <f>WEEKNUM(Table1[[#This Row],[Date]])</f>
        <v>4</v>
      </c>
      <c r="B189" s="35" t="s">
        <v>24</v>
      </c>
      <c r="C189" s="31">
        <v>46041</v>
      </c>
      <c r="D189" s="26" t="s">
        <v>11</v>
      </c>
      <c r="E189" s="22" t="s">
        <v>25</v>
      </c>
      <c r="F189" s="28" t="s">
        <v>318</v>
      </c>
      <c r="G189" s="28" t="s">
        <v>27</v>
      </c>
      <c r="H189" s="24">
        <v>20</v>
      </c>
      <c r="I189" s="24">
        <v>0</v>
      </c>
      <c r="J189" s="28"/>
      <c r="K189" s="28" t="s">
        <v>934</v>
      </c>
      <c r="L189" s="28" t="s">
        <v>934</v>
      </c>
      <c r="M189" s="28"/>
      <c r="N189" s="28" t="s">
        <v>934</v>
      </c>
      <c r="O189" s="22"/>
      <c r="P189" s="29" t="s">
        <v>171</v>
      </c>
    </row>
    <row r="190" spans="1:16" ht="21" x14ac:dyDescent="0.3">
      <c r="A190" s="28">
        <f>WEEKNUM(Table1[[#This Row],[Date]])</f>
        <v>4</v>
      </c>
      <c r="B190" s="35" t="s">
        <v>24</v>
      </c>
      <c r="C190" s="31">
        <v>46041</v>
      </c>
      <c r="D190" s="26" t="s">
        <v>11</v>
      </c>
      <c r="E190" s="22" t="s">
        <v>25</v>
      </c>
      <c r="F190" s="28" t="s">
        <v>319</v>
      </c>
      <c r="G190" s="28" t="s">
        <v>27</v>
      </c>
      <c r="H190" s="24">
        <v>8</v>
      </c>
      <c r="I190" s="24">
        <v>0</v>
      </c>
      <c r="J190" s="28"/>
      <c r="K190" s="28" t="s">
        <v>934</v>
      </c>
      <c r="L190" s="28" t="s">
        <v>934</v>
      </c>
      <c r="M190" s="28"/>
      <c r="N190" s="28" t="s">
        <v>934</v>
      </c>
      <c r="O190" s="22"/>
      <c r="P190" s="29" t="s">
        <v>171</v>
      </c>
    </row>
    <row r="191" spans="1:16" ht="21" x14ac:dyDescent="0.3">
      <c r="A191" s="28">
        <f>WEEKNUM(Table1[[#This Row],[Date]])</f>
        <v>4</v>
      </c>
      <c r="B191" s="35" t="s">
        <v>24</v>
      </c>
      <c r="C191" s="31">
        <v>46041</v>
      </c>
      <c r="D191" s="26" t="s">
        <v>11</v>
      </c>
      <c r="E191" s="22" t="s">
        <v>25</v>
      </c>
      <c r="F191" s="28" t="s">
        <v>320</v>
      </c>
      <c r="G191" s="28" t="s">
        <v>8</v>
      </c>
      <c r="H191" s="24">
        <v>4</v>
      </c>
      <c r="I191" s="24">
        <v>1</v>
      </c>
      <c r="J191" s="28" t="s">
        <v>87</v>
      </c>
      <c r="K191" s="28" t="s">
        <v>353</v>
      </c>
      <c r="L191" s="28" t="s">
        <v>13</v>
      </c>
      <c r="M191" s="28">
        <v>251673</v>
      </c>
      <c r="N191" s="22" t="s">
        <v>166</v>
      </c>
      <c r="O191" s="22"/>
      <c r="P191" s="29" t="s">
        <v>14</v>
      </c>
    </row>
    <row r="192" spans="1:16" ht="21" x14ac:dyDescent="0.3">
      <c r="A192" s="28">
        <f>WEEKNUM(Table1[[#This Row],[Date]])</f>
        <v>4</v>
      </c>
      <c r="B192" s="35" t="s">
        <v>24</v>
      </c>
      <c r="C192" s="31">
        <v>46041</v>
      </c>
      <c r="D192" s="26" t="s">
        <v>11</v>
      </c>
      <c r="E192" s="22" t="s">
        <v>25</v>
      </c>
      <c r="F192" s="28" t="s">
        <v>321</v>
      </c>
      <c r="G192" s="28" t="s">
        <v>8</v>
      </c>
      <c r="H192" s="24">
        <v>2</v>
      </c>
      <c r="I192" s="24">
        <v>0</v>
      </c>
      <c r="J192" s="28"/>
      <c r="K192" s="28" t="s">
        <v>934</v>
      </c>
      <c r="L192" s="28" t="s">
        <v>934</v>
      </c>
      <c r="M192" s="28"/>
      <c r="N192" s="28" t="s">
        <v>934</v>
      </c>
      <c r="O192" s="22"/>
      <c r="P192" s="29" t="s">
        <v>171</v>
      </c>
    </row>
    <row r="193" spans="1:16" ht="21" x14ac:dyDescent="0.3">
      <c r="A193" s="28">
        <f>WEEKNUM(Table1[[#This Row],[Date]])</f>
        <v>4</v>
      </c>
      <c r="B193" s="35" t="s">
        <v>24</v>
      </c>
      <c r="C193" s="31">
        <v>46041</v>
      </c>
      <c r="D193" s="26" t="s">
        <v>11</v>
      </c>
      <c r="E193" s="22" t="s">
        <v>25</v>
      </c>
      <c r="F193" s="28" t="s">
        <v>322</v>
      </c>
      <c r="G193" s="28" t="s">
        <v>8</v>
      </c>
      <c r="H193" s="24">
        <v>1</v>
      </c>
      <c r="I193" s="24">
        <v>0</v>
      </c>
      <c r="J193" s="28"/>
      <c r="K193" s="28" t="s">
        <v>934</v>
      </c>
      <c r="L193" s="28" t="s">
        <v>934</v>
      </c>
      <c r="M193" s="28"/>
      <c r="N193" s="28" t="s">
        <v>934</v>
      </c>
      <c r="O193" s="22"/>
      <c r="P193" s="29" t="s">
        <v>171</v>
      </c>
    </row>
    <row r="194" spans="1:16" ht="21" x14ac:dyDescent="0.3">
      <c r="A194" s="28">
        <f>WEEKNUM(Table1[[#This Row],[Date]])</f>
        <v>4</v>
      </c>
      <c r="B194" s="35" t="s">
        <v>24</v>
      </c>
      <c r="C194" s="31">
        <v>46041</v>
      </c>
      <c r="D194" s="26" t="s">
        <v>11</v>
      </c>
      <c r="E194" s="22" t="s">
        <v>18</v>
      </c>
      <c r="F194" s="28" t="s">
        <v>323</v>
      </c>
      <c r="G194" s="28" t="s">
        <v>8</v>
      </c>
      <c r="H194" s="24">
        <v>5</v>
      </c>
      <c r="I194" s="24">
        <v>1</v>
      </c>
      <c r="J194" s="28" t="s">
        <v>12</v>
      </c>
      <c r="K194" s="28" t="s">
        <v>349</v>
      </c>
      <c r="L194" s="28" t="s">
        <v>13</v>
      </c>
      <c r="M194" s="28">
        <v>251674</v>
      </c>
      <c r="N194" s="22" t="s">
        <v>166</v>
      </c>
      <c r="O194" s="22" t="s">
        <v>324</v>
      </c>
      <c r="P194" s="29" t="s">
        <v>11</v>
      </c>
    </row>
    <row r="195" spans="1:16" ht="21" x14ac:dyDescent="0.3">
      <c r="A195" s="28">
        <f>WEEKNUM(Table1[[#This Row],[Date]])</f>
        <v>4</v>
      </c>
      <c r="B195" s="35" t="s">
        <v>24</v>
      </c>
      <c r="C195" s="31">
        <v>46041</v>
      </c>
      <c r="D195" s="26" t="s">
        <v>11</v>
      </c>
      <c r="E195" s="22" t="s">
        <v>18</v>
      </c>
      <c r="F195" s="28" t="s">
        <v>325</v>
      </c>
      <c r="G195" s="28" t="s">
        <v>27</v>
      </c>
      <c r="H195" s="24">
        <v>6</v>
      </c>
      <c r="I195" s="24">
        <v>1</v>
      </c>
      <c r="J195" s="28" t="s">
        <v>197</v>
      </c>
      <c r="K195" s="28" t="s">
        <v>61</v>
      </c>
      <c r="L195" s="28" t="s">
        <v>36</v>
      </c>
      <c r="M195" s="28">
        <v>251675</v>
      </c>
      <c r="N195" s="22" t="s">
        <v>169</v>
      </c>
      <c r="O195" s="22" t="s">
        <v>326</v>
      </c>
      <c r="P195" s="29" t="s">
        <v>16</v>
      </c>
    </row>
    <row r="196" spans="1:16" ht="21" x14ac:dyDescent="0.3">
      <c r="A196" s="28">
        <f>WEEKNUM(Table1[[#This Row],[Date]])</f>
        <v>4</v>
      </c>
      <c r="B196" s="35" t="s">
        <v>24</v>
      </c>
      <c r="C196" s="31">
        <v>46041</v>
      </c>
      <c r="D196" s="26" t="s">
        <v>11</v>
      </c>
      <c r="E196" s="22" t="s">
        <v>18</v>
      </c>
      <c r="F196" s="28" t="s">
        <v>327</v>
      </c>
      <c r="G196" s="28" t="s">
        <v>27</v>
      </c>
      <c r="H196" s="24">
        <v>7</v>
      </c>
      <c r="I196" s="24">
        <v>0</v>
      </c>
      <c r="J196" s="28"/>
      <c r="K196" s="28" t="s">
        <v>934</v>
      </c>
      <c r="L196" s="28" t="s">
        <v>934</v>
      </c>
      <c r="M196" s="28"/>
      <c r="N196" s="28" t="s">
        <v>934</v>
      </c>
      <c r="O196" s="22"/>
      <c r="P196" s="29" t="s">
        <v>171</v>
      </c>
    </row>
    <row r="197" spans="1:16" ht="21" x14ac:dyDescent="0.3">
      <c r="A197" s="28">
        <f>WEEKNUM(Table1[[#This Row],[Date]])</f>
        <v>4</v>
      </c>
      <c r="B197" s="35" t="s">
        <v>24</v>
      </c>
      <c r="C197" s="31">
        <v>46041</v>
      </c>
      <c r="D197" s="26" t="s">
        <v>11</v>
      </c>
      <c r="E197" s="22" t="s">
        <v>18</v>
      </c>
      <c r="F197" s="28" t="s">
        <v>328</v>
      </c>
      <c r="G197" s="28" t="s">
        <v>27</v>
      </c>
      <c r="H197" s="24">
        <v>8</v>
      </c>
      <c r="I197" s="24">
        <v>1</v>
      </c>
      <c r="J197" s="28" t="s">
        <v>12</v>
      </c>
      <c r="K197" s="28" t="s">
        <v>349</v>
      </c>
      <c r="L197" s="28" t="s">
        <v>329</v>
      </c>
      <c r="M197" s="28">
        <v>251676</v>
      </c>
      <c r="N197" s="22" t="s">
        <v>164</v>
      </c>
      <c r="O197" s="22" t="s">
        <v>330</v>
      </c>
      <c r="P197" s="29" t="s">
        <v>11</v>
      </c>
    </row>
    <row r="198" spans="1:16" ht="21" x14ac:dyDescent="0.3">
      <c r="A198" s="28">
        <f>WEEKNUM(Table1[[#This Row],[Date]])</f>
        <v>4</v>
      </c>
      <c r="B198" s="35" t="s">
        <v>24</v>
      </c>
      <c r="C198" s="31">
        <v>46041</v>
      </c>
      <c r="D198" s="26" t="s">
        <v>11</v>
      </c>
      <c r="E198" s="22" t="s">
        <v>18</v>
      </c>
      <c r="F198" s="28" t="s">
        <v>331</v>
      </c>
      <c r="G198" s="28" t="s">
        <v>8</v>
      </c>
      <c r="H198" s="24">
        <v>3</v>
      </c>
      <c r="I198" s="24">
        <v>0</v>
      </c>
      <c r="J198" s="28"/>
      <c r="K198" s="28" t="s">
        <v>934</v>
      </c>
      <c r="L198" s="28" t="s">
        <v>934</v>
      </c>
      <c r="M198" s="28"/>
      <c r="N198" s="28" t="s">
        <v>934</v>
      </c>
      <c r="O198" s="22"/>
      <c r="P198" s="29" t="s">
        <v>171</v>
      </c>
    </row>
    <row r="199" spans="1:16" ht="21" x14ac:dyDescent="0.3">
      <c r="A199" s="28">
        <f>WEEKNUM(Table1[[#This Row],[Date]])</f>
        <v>3</v>
      </c>
      <c r="B199" s="35" t="s">
        <v>24</v>
      </c>
      <c r="C199" s="31">
        <v>46038</v>
      </c>
      <c r="D199" s="26" t="s">
        <v>332</v>
      </c>
      <c r="E199" s="22" t="s">
        <v>38</v>
      </c>
      <c r="F199" s="28" t="s">
        <v>333</v>
      </c>
      <c r="G199" s="28" t="s">
        <v>8</v>
      </c>
      <c r="H199" s="24"/>
      <c r="I199" s="24">
        <v>1</v>
      </c>
      <c r="J199" s="28" t="s">
        <v>17</v>
      </c>
      <c r="K199" s="28" t="s">
        <v>740</v>
      </c>
      <c r="L199" s="28" t="s">
        <v>334</v>
      </c>
      <c r="M199" s="28">
        <v>202302617</v>
      </c>
      <c r="N199" s="22" t="s">
        <v>164</v>
      </c>
      <c r="O199" s="22" t="s">
        <v>335</v>
      </c>
      <c r="P199" s="29" t="s">
        <v>11</v>
      </c>
    </row>
    <row r="200" spans="1:16" ht="21" x14ac:dyDescent="0.3">
      <c r="A200" s="28">
        <f>WEEKNUM(Table1[[#This Row],[Date]])</f>
        <v>3</v>
      </c>
      <c r="B200" s="35" t="s">
        <v>24</v>
      </c>
      <c r="C200" s="31">
        <v>46038</v>
      </c>
      <c r="D200" s="26" t="s">
        <v>332</v>
      </c>
      <c r="E200" s="22" t="s">
        <v>38</v>
      </c>
      <c r="F200" s="28" t="s">
        <v>336</v>
      </c>
      <c r="G200" s="28" t="s">
        <v>8</v>
      </c>
      <c r="H200" s="24"/>
      <c r="I200" s="24">
        <v>1</v>
      </c>
      <c r="J200" s="28" t="s">
        <v>272</v>
      </c>
      <c r="K200" s="28" t="s">
        <v>351</v>
      </c>
      <c r="L200" s="28" t="s">
        <v>55</v>
      </c>
      <c r="M200" s="28">
        <v>202302618</v>
      </c>
      <c r="N200" s="22" t="s">
        <v>164</v>
      </c>
      <c r="O200" s="22" t="s">
        <v>337</v>
      </c>
      <c r="P200" s="29" t="s">
        <v>46</v>
      </c>
    </row>
    <row r="201" spans="1:16" ht="21" x14ac:dyDescent="0.3">
      <c r="A201" s="28">
        <f>WEEKNUM(Table1[[#This Row],[Date]])</f>
        <v>3</v>
      </c>
      <c r="B201" s="35" t="s">
        <v>24</v>
      </c>
      <c r="C201" s="31">
        <v>46038</v>
      </c>
      <c r="D201" s="26" t="s">
        <v>332</v>
      </c>
      <c r="E201" s="22" t="s">
        <v>38</v>
      </c>
      <c r="F201" s="28" t="s">
        <v>151</v>
      </c>
      <c r="G201" s="28" t="s">
        <v>27</v>
      </c>
      <c r="H201" s="24"/>
      <c r="I201" s="24">
        <v>1</v>
      </c>
      <c r="J201" s="28" t="s">
        <v>352</v>
      </c>
      <c r="K201" s="28" t="s">
        <v>351</v>
      </c>
      <c r="L201" s="28" t="s">
        <v>55</v>
      </c>
      <c r="M201" s="28">
        <v>202302619</v>
      </c>
      <c r="N201" s="22" t="s">
        <v>165</v>
      </c>
      <c r="O201" s="22" t="s">
        <v>338</v>
      </c>
      <c r="P201" s="29" t="s">
        <v>46</v>
      </c>
    </row>
    <row r="202" spans="1:16" ht="21" x14ac:dyDescent="0.3">
      <c r="A202" s="28">
        <f>WEEKNUM(Table1[[#This Row],[Date]])</f>
        <v>3</v>
      </c>
      <c r="B202" s="35" t="s">
        <v>24</v>
      </c>
      <c r="C202" s="31">
        <v>46038</v>
      </c>
      <c r="D202" s="26" t="s">
        <v>332</v>
      </c>
      <c r="E202" s="22" t="s">
        <v>38</v>
      </c>
      <c r="F202" s="28" t="s">
        <v>339</v>
      </c>
      <c r="G202" s="28" t="s">
        <v>8</v>
      </c>
      <c r="H202" s="24"/>
      <c r="I202" s="24">
        <v>1</v>
      </c>
      <c r="J202" s="28" t="s">
        <v>229</v>
      </c>
      <c r="K202" s="28" t="s">
        <v>353</v>
      </c>
      <c r="L202" s="28" t="s">
        <v>180</v>
      </c>
      <c r="M202" s="28">
        <v>202302620</v>
      </c>
      <c r="N202" s="22" t="s">
        <v>164</v>
      </c>
      <c r="O202" s="22" t="s">
        <v>340</v>
      </c>
      <c r="P202" s="29" t="s">
        <v>14</v>
      </c>
    </row>
    <row r="203" spans="1:16" ht="21" x14ac:dyDescent="0.3">
      <c r="A203" s="28">
        <f>WEEKNUM(Table1[[#This Row],[Date]])</f>
        <v>3</v>
      </c>
      <c r="B203" s="35" t="s">
        <v>24</v>
      </c>
      <c r="C203" s="31">
        <v>46038</v>
      </c>
      <c r="D203" s="26" t="s">
        <v>332</v>
      </c>
      <c r="E203" s="22" t="s">
        <v>38</v>
      </c>
      <c r="F203" s="28" t="s">
        <v>341</v>
      </c>
      <c r="G203" s="28" t="s">
        <v>8</v>
      </c>
      <c r="H203" s="24"/>
      <c r="I203" s="24">
        <v>1</v>
      </c>
      <c r="J203" s="28" t="s">
        <v>17</v>
      </c>
      <c r="K203" s="28" t="s">
        <v>351</v>
      </c>
      <c r="L203" s="28" t="s">
        <v>159</v>
      </c>
      <c r="M203" s="28">
        <v>202302621</v>
      </c>
      <c r="N203" s="22" t="s">
        <v>164</v>
      </c>
      <c r="O203" s="22" t="s">
        <v>267</v>
      </c>
      <c r="P203" s="29" t="s">
        <v>11</v>
      </c>
    </row>
    <row r="204" spans="1:16" ht="21" x14ac:dyDescent="0.3">
      <c r="A204" s="28">
        <f>WEEKNUM(Table1[[#This Row],[Date]])</f>
        <v>3</v>
      </c>
      <c r="B204" s="35" t="s">
        <v>24</v>
      </c>
      <c r="C204" s="31">
        <v>46038</v>
      </c>
      <c r="D204" s="26" t="s">
        <v>332</v>
      </c>
      <c r="E204" s="22" t="s">
        <v>38</v>
      </c>
      <c r="F204" s="28" t="s">
        <v>310</v>
      </c>
      <c r="G204" s="28" t="s">
        <v>8</v>
      </c>
      <c r="H204" s="24"/>
      <c r="I204" s="24">
        <v>1</v>
      </c>
      <c r="J204" s="28" t="s">
        <v>272</v>
      </c>
      <c r="K204" s="28" t="s">
        <v>351</v>
      </c>
      <c r="L204" s="28" t="s">
        <v>55</v>
      </c>
      <c r="M204" s="28">
        <v>202302622</v>
      </c>
      <c r="N204" s="22" t="s">
        <v>164</v>
      </c>
      <c r="O204" s="22" t="s">
        <v>342</v>
      </c>
      <c r="P204" s="29" t="s">
        <v>46</v>
      </c>
    </row>
    <row r="205" spans="1:16" ht="21" x14ac:dyDescent="0.3">
      <c r="A205" s="28">
        <f>WEEKNUM(Table1[[#This Row],[Date]])</f>
        <v>4</v>
      </c>
      <c r="B205" s="35" t="s">
        <v>24</v>
      </c>
      <c r="C205" s="31">
        <v>46041</v>
      </c>
      <c r="D205" s="26" t="s">
        <v>332</v>
      </c>
      <c r="E205" s="22" t="s">
        <v>38</v>
      </c>
      <c r="F205" s="28" t="s">
        <v>343</v>
      </c>
      <c r="G205" s="28" t="s">
        <v>8</v>
      </c>
      <c r="H205" s="24"/>
      <c r="I205" s="24">
        <v>1</v>
      </c>
      <c r="J205" s="28"/>
      <c r="K205" s="28" t="s">
        <v>353</v>
      </c>
      <c r="L205" s="28" t="s">
        <v>344</v>
      </c>
      <c r="M205" s="28">
        <v>202302623</v>
      </c>
      <c r="N205" s="22" t="s">
        <v>166</v>
      </c>
      <c r="O205" s="22" t="s">
        <v>345</v>
      </c>
      <c r="P205" s="29" t="s">
        <v>14</v>
      </c>
    </row>
    <row r="206" spans="1:16" ht="21" x14ac:dyDescent="0.3">
      <c r="A206" s="28">
        <f>WEEKNUM(Table1[[#This Row],[Date]])</f>
        <v>4</v>
      </c>
      <c r="B206" s="35" t="s">
        <v>24</v>
      </c>
      <c r="C206" s="31">
        <v>46041</v>
      </c>
      <c r="D206" s="26" t="s">
        <v>332</v>
      </c>
      <c r="E206" s="33" t="s">
        <v>38</v>
      </c>
      <c r="F206" s="28" t="s">
        <v>358</v>
      </c>
      <c r="G206" s="28" t="s">
        <v>27</v>
      </c>
      <c r="H206" s="24"/>
      <c r="I206" s="24">
        <v>1</v>
      </c>
      <c r="J206" s="28"/>
      <c r="K206" s="28" t="s">
        <v>349</v>
      </c>
      <c r="L206" s="28" t="s">
        <v>329</v>
      </c>
      <c r="M206" s="28">
        <v>202302624</v>
      </c>
      <c r="N206" s="28" t="s">
        <v>164</v>
      </c>
      <c r="O206" s="28" t="s">
        <v>256</v>
      </c>
      <c r="P206" s="22" t="s">
        <v>11</v>
      </c>
    </row>
    <row r="207" spans="1:16" ht="31.2" x14ac:dyDescent="0.3">
      <c r="A207" s="28">
        <f>WEEKNUM(Table1[[#This Row],[Date]])</f>
        <v>4</v>
      </c>
      <c r="B207" s="35" t="s">
        <v>24</v>
      </c>
      <c r="C207" s="31">
        <v>46042</v>
      </c>
      <c r="D207" s="26" t="s">
        <v>332</v>
      </c>
      <c r="E207" s="22" t="s">
        <v>38</v>
      </c>
      <c r="F207" s="28" t="s">
        <v>354</v>
      </c>
      <c r="G207" s="28" t="s">
        <v>8</v>
      </c>
      <c r="H207" s="24"/>
      <c r="I207" s="24">
        <v>1</v>
      </c>
      <c r="J207" s="28" t="s">
        <v>15</v>
      </c>
      <c r="K207" s="28" t="s">
        <v>353</v>
      </c>
      <c r="L207" s="28" t="s">
        <v>39</v>
      </c>
      <c r="M207" s="28">
        <v>202302625</v>
      </c>
      <c r="N207" s="22" t="s">
        <v>166</v>
      </c>
      <c r="O207" s="22" t="s">
        <v>359</v>
      </c>
      <c r="P207" s="22" t="s">
        <v>14</v>
      </c>
    </row>
    <row r="208" spans="1:16" ht="21" x14ac:dyDescent="0.3">
      <c r="A208" s="28">
        <f>WEEKNUM(Table1[[#This Row],[Date]])</f>
        <v>4</v>
      </c>
      <c r="B208" s="35" t="s">
        <v>24</v>
      </c>
      <c r="C208" s="31">
        <v>46042</v>
      </c>
      <c r="D208" s="26" t="s">
        <v>332</v>
      </c>
      <c r="E208" s="22" t="s">
        <v>38</v>
      </c>
      <c r="F208" s="28" t="s">
        <v>355</v>
      </c>
      <c r="G208" s="28" t="s">
        <v>8</v>
      </c>
      <c r="H208" s="24"/>
      <c r="I208" s="24">
        <v>1</v>
      </c>
      <c r="J208" s="28" t="s">
        <v>9</v>
      </c>
      <c r="K208" s="28" t="s">
        <v>349</v>
      </c>
      <c r="L208" s="28" t="s">
        <v>93</v>
      </c>
      <c r="M208" s="28">
        <v>202302626</v>
      </c>
      <c r="N208" s="22" t="s">
        <v>164</v>
      </c>
      <c r="O208" s="22" t="s">
        <v>255</v>
      </c>
      <c r="P208" s="22" t="s">
        <v>11</v>
      </c>
    </row>
    <row r="209" spans="1:16" ht="21" x14ac:dyDescent="0.3">
      <c r="A209" s="28">
        <f>WEEKNUM(Table1[[#This Row],[Date]])</f>
        <v>4</v>
      </c>
      <c r="B209" s="35" t="s">
        <v>24</v>
      </c>
      <c r="C209" s="31">
        <v>46042</v>
      </c>
      <c r="D209" s="26" t="s">
        <v>332</v>
      </c>
      <c r="E209" s="22" t="s">
        <v>38</v>
      </c>
      <c r="F209" s="28" t="s">
        <v>333</v>
      </c>
      <c r="G209" s="28" t="s">
        <v>8</v>
      </c>
      <c r="H209" s="24"/>
      <c r="I209" s="24">
        <v>1</v>
      </c>
      <c r="J209" s="28" t="s">
        <v>229</v>
      </c>
      <c r="K209" s="28" t="s">
        <v>353</v>
      </c>
      <c r="L209" s="28" t="s">
        <v>334</v>
      </c>
      <c r="M209" s="28">
        <v>202302627</v>
      </c>
      <c r="N209" s="22" t="s">
        <v>164</v>
      </c>
      <c r="O209" s="22" t="s">
        <v>340</v>
      </c>
      <c r="P209" s="22" t="s">
        <v>14</v>
      </c>
    </row>
    <row r="210" spans="1:16" ht="36" x14ac:dyDescent="0.3">
      <c r="A210" s="28">
        <f>WEEKNUM(Table1[[#This Row],[Date]])</f>
        <v>4</v>
      </c>
      <c r="B210" s="35" t="s">
        <v>24</v>
      </c>
      <c r="C210" s="31">
        <v>46042</v>
      </c>
      <c r="D210" s="26" t="s">
        <v>11</v>
      </c>
      <c r="E210" s="26" t="s">
        <v>25</v>
      </c>
      <c r="F210" s="22" t="s">
        <v>356</v>
      </c>
      <c r="G210" s="28" t="s">
        <v>8</v>
      </c>
      <c r="H210" s="24">
        <v>7</v>
      </c>
      <c r="I210" s="24">
        <v>0</v>
      </c>
      <c r="J210" s="24"/>
      <c r="K210" s="28" t="s">
        <v>934</v>
      </c>
      <c r="L210" s="28" t="s">
        <v>934</v>
      </c>
      <c r="M210" s="28"/>
      <c r="N210" s="28" t="s">
        <v>934</v>
      </c>
      <c r="O210" s="22"/>
      <c r="P210" s="29" t="s">
        <v>171</v>
      </c>
    </row>
    <row r="211" spans="1:16" ht="36" x14ac:dyDescent="0.3">
      <c r="A211" s="28">
        <f>WEEKNUM(Table1[[#This Row],[Date]])</f>
        <v>4</v>
      </c>
      <c r="B211" s="35" t="s">
        <v>24</v>
      </c>
      <c r="C211" s="31">
        <v>46042</v>
      </c>
      <c r="D211" s="26" t="s">
        <v>11</v>
      </c>
      <c r="E211" s="26" t="s">
        <v>25</v>
      </c>
      <c r="F211" s="22" t="s">
        <v>299</v>
      </c>
      <c r="G211" s="28" t="s">
        <v>27</v>
      </c>
      <c r="H211" s="24">
        <v>6</v>
      </c>
      <c r="I211" s="24">
        <v>1</v>
      </c>
      <c r="J211" s="24" t="s">
        <v>9</v>
      </c>
      <c r="K211" s="28" t="s">
        <v>351</v>
      </c>
      <c r="L211" s="28" t="s">
        <v>159</v>
      </c>
      <c r="M211" s="28">
        <v>251677</v>
      </c>
      <c r="N211" s="22" t="s">
        <v>164</v>
      </c>
      <c r="O211" s="22" t="s">
        <v>357</v>
      </c>
      <c r="P211" s="29" t="s">
        <v>11</v>
      </c>
    </row>
    <row r="212" spans="1:16" ht="36" x14ac:dyDescent="0.3">
      <c r="A212" s="28">
        <f>WEEKNUM(Table1[[#This Row],[Date]])</f>
        <v>4</v>
      </c>
      <c r="B212" s="35" t="s">
        <v>24</v>
      </c>
      <c r="C212" s="31">
        <v>46043</v>
      </c>
      <c r="D212" s="26" t="s">
        <v>11</v>
      </c>
      <c r="E212" s="26" t="s">
        <v>25</v>
      </c>
      <c r="F212" s="22" t="s">
        <v>308</v>
      </c>
      <c r="G212" s="28" t="s">
        <v>27</v>
      </c>
      <c r="H212" s="24">
        <v>12</v>
      </c>
      <c r="I212" s="24">
        <v>0</v>
      </c>
      <c r="J212" s="24"/>
      <c r="K212" s="28" t="s">
        <v>934</v>
      </c>
      <c r="L212" s="28" t="s">
        <v>934</v>
      </c>
      <c r="M212" s="28"/>
      <c r="N212" s="28" t="s">
        <v>934</v>
      </c>
      <c r="O212" s="22"/>
      <c r="P212" s="29" t="s">
        <v>171</v>
      </c>
    </row>
    <row r="213" spans="1:16" ht="21" x14ac:dyDescent="0.3">
      <c r="A213" s="28">
        <f>WEEKNUM(Table1[[#This Row],[Date]])</f>
        <v>4</v>
      </c>
      <c r="B213" s="35" t="s">
        <v>24</v>
      </c>
      <c r="C213" s="31">
        <v>46043</v>
      </c>
      <c r="D213" s="26" t="s">
        <v>11</v>
      </c>
      <c r="E213" s="22" t="s">
        <v>25</v>
      </c>
      <c r="F213" s="28" t="s">
        <v>360</v>
      </c>
      <c r="G213" s="28" t="s">
        <v>27</v>
      </c>
      <c r="H213" s="24">
        <v>18</v>
      </c>
      <c r="I213" s="24">
        <v>0</v>
      </c>
      <c r="J213" s="28"/>
      <c r="K213" s="28" t="s">
        <v>934</v>
      </c>
      <c r="L213" s="28" t="s">
        <v>934</v>
      </c>
      <c r="M213" s="28"/>
      <c r="N213" s="28" t="s">
        <v>934</v>
      </c>
      <c r="O213" s="22"/>
      <c r="P213" s="29" t="s">
        <v>171</v>
      </c>
    </row>
    <row r="214" spans="1:16" ht="21" x14ac:dyDescent="0.3">
      <c r="A214" s="28">
        <f>WEEKNUM(Table1[[#This Row],[Date]])</f>
        <v>4</v>
      </c>
      <c r="B214" s="35" t="s">
        <v>24</v>
      </c>
      <c r="C214" s="31">
        <v>46043</v>
      </c>
      <c r="D214" s="26" t="s">
        <v>11</v>
      </c>
      <c r="E214" s="22" t="s">
        <v>25</v>
      </c>
      <c r="F214" s="28" t="s">
        <v>361</v>
      </c>
      <c r="G214" s="28" t="s">
        <v>27</v>
      </c>
      <c r="H214" s="24">
        <v>56</v>
      </c>
      <c r="I214" s="24">
        <v>1</v>
      </c>
      <c r="J214" s="28" t="s">
        <v>9</v>
      </c>
      <c r="K214" s="28" t="s">
        <v>353</v>
      </c>
      <c r="L214" s="28" t="s">
        <v>224</v>
      </c>
      <c r="M214" s="22">
        <v>251678</v>
      </c>
      <c r="N214" s="22" t="s">
        <v>166</v>
      </c>
      <c r="O214" s="22" t="s">
        <v>362</v>
      </c>
      <c r="P214" s="22" t="s">
        <v>11</v>
      </c>
    </row>
    <row r="215" spans="1:16" ht="21" x14ac:dyDescent="0.3">
      <c r="A215" s="28">
        <f>WEEKNUM(Table1[[#This Row],[Date]])</f>
        <v>4</v>
      </c>
      <c r="B215" s="35" t="s">
        <v>24</v>
      </c>
      <c r="C215" s="31">
        <v>46043</v>
      </c>
      <c r="D215" s="26" t="s">
        <v>11</v>
      </c>
      <c r="E215" s="22" t="s">
        <v>25</v>
      </c>
      <c r="F215" s="28" t="s">
        <v>363</v>
      </c>
      <c r="G215" s="28" t="s">
        <v>27</v>
      </c>
      <c r="H215" s="24">
        <v>12</v>
      </c>
      <c r="I215" s="24">
        <v>0</v>
      </c>
      <c r="J215" s="28"/>
      <c r="K215" s="28" t="s">
        <v>934</v>
      </c>
      <c r="L215" s="28" t="s">
        <v>934</v>
      </c>
      <c r="M215" s="28"/>
      <c r="N215" s="28" t="s">
        <v>934</v>
      </c>
      <c r="O215" s="22"/>
      <c r="P215" s="29" t="s">
        <v>171</v>
      </c>
    </row>
    <row r="216" spans="1:16" ht="21" x14ac:dyDescent="0.3">
      <c r="A216" s="28">
        <f>WEEKNUM(Table1[[#This Row],[Date]])</f>
        <v>4</v>
      </c>
      <c r="B216" s="35" t="s">
        <v>24</v>
      </c>
      <c r="C216" s="31">
        <v>46043</v>
      </c>
      <c r="D216" s="26" t="s">
        <v>11</v>
      </c>
      <c r="E216" s="22" t="s">
        <v>25</v>
      </c>
      <c r="F216" s="28" t="s">
        <v>188</v>
      </c>
      <c r="G216" s="28" t="s">
        <v>8</v>
      </c>
      <c r="H216" s="24">
        <v>3</v>
      </c>
      <c r="I216" s="24">
        <v>0</v>
      </c>
      <c r="J216" s="28"/>
      <c r="K216" s="28" t="s">
        <v>934</v>
      </c>
      <c r="L216" s="28" t="s">
        <v>934</v>
      </c>
      <c r="M216" s="28"/>
      <c r="N216" s="28" t="s">
        <v>934</v>
      </c>
      <c r="O216" s="22"/>
      <c r="P216" s="29" t="s">
        <v>171</v>
      </c>
    </row>
    <row r="217" spans="1:16" ht="21" x14ac:dyDescent="0.3">
      <c r="A217" s="28">
        <f>WEEKNUM(Table1[[#This Row],[Date]])</f>
        <v>4</v>
      </c>
      <c r="B217" s="35" t="s">
        <v>24</v>
      </c>
      <c r="C217" s="31">
        <v>46043</v>
      </c>
      <c r="D217" s="26" t="s">
        <v>11</v>
      </c>
      <c r="E217" s="22" t="s">
        <v>18</v>
      </c>
      <c r="F217" s="28" t="s">
        <v>364</v>
      </c>
      <c r="G217" s="28" t="s">
        <v>27</v>
      </c>
      <c r="H217" s="24">
        <v>8</v>
      </c>
      <c r="I217" s="24">
        <v>0</v>
      </c>
      <c r="J217" s="28"/>
      <c r="K217" s="28" t="s">
        <v>934</v>
      </c>
      <c r="L217" s="28" t="s">
        <v>934</v>
      </c>
      <c r="M217" s="28"/>
      <c r="N217" s="28" t="s">
        <v>934</v>
      </c>
      <c r="O217" s="22"/>
      <c r="P217" s="29" t="s">
        <v>171</v>
      </c>
    </row>
    <row r="218" spans="1:16" ht="21" x14ac:dyDescent="0.3">
      <c r="A218" s="28">
        <f>WEEKNUM(Table1[[#This Row],[Date]])</f>
        <v>4</v>
      </c>
      <c r="B218" s="35" t="s">
        <v>24</v>
      </c>
      <c r="C218" s="31">
        <v>46043</v>
      </c>
      <c r="D218" s="26" t="s">
        <v>11</v>
      </c>
      <c r="E218" s="22" t="s">
        <v>18</v>
      </c>
      <c r="F218" s="28" t="s">
        <v>365</v>
      </c>
      <c r="G218" s="28" t="s">
        <v>27</v>
      </c>
      <c r="H218" s="24">
        <v>22</v>
      </c>
      <c r="I218" s="24">
        <v>1</v>
      </c>
      <c r="J218" s="28" t="s">
        <v>9</v>
      </c>
      <c r="K218" s="28" t="s">
        <v>61</v>
      </c>
      <c r="L218" s="28" t="s">
        <v>39</v>
      </c>
      <c r="M218" s="22">
        <v>251680</v>
      </c>
      <c r="N218" s="22" t="s">
        <v>166</v>
      </c>
      <c r="O218" s="22" t="s">
        <v>366</v>
      </c>
      <c r="P218" s="22" t="s">
        <v>16</v>
      </c>
    </row>
    <row r="219" spans="1:16" ht="21" x14ac:dyDescent="0.3">
      <c r="A219" s="28">
        <f>WEEKNUM(Table1[[#This Row],[Date]])</f>
        <v>4</v>
      </c>
      <c r="B219" s="35" t="s">
        <v>24</v>
      </c>
      <c r="C219" s="31">
        <v>46043</v>
      </c>
      <c r="D219" s="26" t="s">
        <v>11</v>
      </c>
      <c r="E219" s="22" t="s">
        <v>18</v>
      </c>
      <c r="F219" s="28" t="s">
        <v>367</v>
      </c>
      <c r="G219" s="28" t="s">
        <v>8</v>
      </c>
      <c r="H219" s="24">
        <v>2</v>
      </c>
      <c r="I219" s="24">
        <v>0</v>
      </c>
      <c r="J219" s="28"/>
      <c r="K219" s="28" t="s">
        <v>934</v>
      </c>
      <c r="L219" s="28" t="s">
        <v>934</v>
      </c>
      <c r="M219" s="28"/>
      <c r="N219" s="28" t="s">
        <v>934</v>
      </c>
      <c r="O219" s="22"/>
      <c r="P219" s="29" t="s">
        <v>171</v>
      </c>
    </row>
    <row r="220" spans="1:16" ht="21" x14ac:dyDescent="0.3">
      <c r="A220" s="28">
        <f>WEEKNUM(Table1[[#This Row],[Date]])</f>
        <v>4</v>
      </c>
      <c r="B220" s="35" t="s">
        <v>24</v>
      </c>
      <c r="C220" s="31">
        <v>46043</v>
      </c>
      <c r="D220" s="26" t="s">
        <v>11</v>
      </c>
      <c r="E220" s="22" t="s">
        <v>18</v>
      </c>
      <c r="F220" s="28" t="s">
        <v>368</v>
      </c>
      <c r="G220" s="28" t="s">
        <v>8</v>
      </c>
      <c r="H220" s="24">
        <v>5</v>
      </c>
      <c r="I220" s="24">
        <v>1</v>
      </c>
      <c r="J220" s="28" t="s">
        <v>9</v>
      </c>
      <c r="K220" s="28" t="s">
        <v>61</v>
      </c>
      <c r="L220" s="28" t="s">
        <v>19</v>
      </c>
      <c r="M220" s="22">
        <v>251681</v>
      </c>
      <c r="N220" s="22" t="s">
        <v>166</v>
      </c>
      <c r="O220" s="22" t="s">
        <v>369</v>
      </c>
      <c r="P220" s="22" t="s">
        <v>16</v>
      </c>
    </row>
    <row r="221" spans="1:16" ht="21" x14ac:dyDescent="0.3">
      <c r="A221" s="28">
        <f>WEEKNUM(Table1[[#This Row],[Date]])</f>
        <v>4</v>
      </c>
      <c r="B221" s="35" t="s">
        <v>24</v>
      </c>
      <c r="C221" s="31">
        <v>46043</v>
      </c>
      <c r="D221" s="26" t="s">
        <v>11</v>
      </c>
      <c r="E221" s="22" t="s">
        <v>18</v>
      </c>
      <c r="F221" s="28" t="s">
        <v>188</v>
      </c>
      <c r="G221" s="28" t="s">
        <v>8</v>
      </c>
      <c r="H221" s="24">
        <v>1</v>
      </c>
      <c r="I221" s="24">
        <v>1</v>
      </c>
      <c r="J221" s="28" t="s">
        <v>12</v>
      </c>
      <c r="K221" s="28" t="s">
        <v>353</v>
      </c>
      <c r="L221" s="28" t="s">
        <v>39</v>
      </c>
      <c r="M221" s="22">
        <v>251682</v>
      </c>
      <c r="N221" s="22" t="s">
        <v>166</v>
      </c>
      <c r="O221" s="22" t="s">
        <v>370</v>
      </c>
      <c r="P221" s="22" t="s">
        <v>14</v>
      </c>
    </row>
    <row r="222" spans="1:16" ht="21" x14ac:dyDescent="0.3">
      <c r="A222" s="28">
        <f>WEEKNUM(Table1[[#This Row],[Date]])</f>
        <v>4</v>
      </c>
      <c r="B222" s="35" t="s">
        <v>24</v>
      </c>
      <c r="C222" s="31">
        <v>46043</v>
      </c>
      <c r="D222" s="26" t="s">
        <v>11</v>
      </c>
      <c r="E222" s="22" t="s">
        <v>25</v>
      </c>
      <c r="F222" s="28" t="s">
        <v>282</v>
      </c>
      <c r="G222" s="28" t="s">
        <v>27</v>
      </c>
      <c r="H222" s="24">
        <v>7</v>
      </c>
      <c r="I222" s="24">
        <v>0</v>
      </c>
      <c r="J222" s="28"/>
      <c r="K222" s="28" t="s">
        <v>934</v>
      </c>
      <c r="L222" s="28" t="s">
        <v>934</v>
      </c>
      <c r="M222" s="28"/>
      <c r="N222" s="28" t="s">
        <v>934</v>
      </c>
      <c r="O222" s="22"/>
      <c r="P222" s="29" t="s">
        <v>171</v>
      </c>
    </row>
    <row r="223" spans="1:16" ht="21" x14ac:dyDescent="0.3">
      <c r="A223" s="28">
        <f>WEEKNUM(Table1[[#This Row],[Date]])</f>
        <v>4</v>
      </c>
      <c r="B223" s="35" t="s">
        <v>24</v>
      </c>
      <c r="C223" s="31">
        <v>46043</v>
      </c>
      <c r="D223" s="26" t="s">
        <v>332</v>
      </c>
      <c r="E223" s="22" t="s">
        <v>38</v>
      </c>
      <c r="F223" s="28" t="s">
        <v>371</v>
      </c>
      <c r="G223" s="28" t="s">
        <v>27</v>
      </c>
      <c r="H223" s="24"/>
      <c r="I223" s="24">
        <v>1</v>
      </c>
      <c r="J223" s="28" t="s">
        <v>197</v>
      </c>
      <c r="K223" s="28" t="s">
        <v>349</v>
      </c>
      <c r="L223" s="28" t="s">
        <v>83</v>
      </c>
      <c r="M223" s="22">
        <v>202302628</v>
      </c>
      <c r="N223" s="22" t="s">
        <v>166</v>
      </c>
      <c r="O223" s="22" t="s">
        <v>372</v>
      </c>
      <c r="P223" s="22" t="s">
        <v>11</v>
      </c>
    </row>
    <row r="224" spans="1:16" ht="21" x14ac:dyDescent="0.3">
      <c r="A224" s="28">
        <f>WEEKNUM(Table1[[#This Row],[Date]])</f>
        <v>4</v>
      </c>
      <c r="B224" s="35" t="s">
        <v>24</v>
      </c>
      <c r="C224" s="31">
        <v>46043</v>
      </c>
      <c r="D224" s="26" t="s">
        <v>332</v>
      </c>
      <c r="E224" s="22" t="s">
        <v>38</v>
      </c>
      <c r="F224" s="28" t="s">
        <v>361</v>
      </c>
      <c r="G224" s="28" t="s">
        <v>27</v>
      </c>
      <c r="H224" s="24"/>
      <c r="I224" s="24">
        <v>1</v>
      </c>
      <c r="J224" s="28" t="s">
        <v>9</v>
      </c>
      <c r="K224" s="28" t="s">
        <v>349</v>
      </c>
      <c r="L224" s="28" t="s">
        <v>10</v>
      </c>
      <c r="M224" s="22">
        <v>202302629</v>
      </c>
      <c r="N224" s="22" t="s">
        <v>166</v>
      </c>
      <c r="O224" s="22" t="s">
        <v>255</v>
      </c>
      <c r="P224" s="22" t="s">
        <v>11</v>
      </c>
    </row>
    <row r="225" spans="1:16" ht="21" x14ac:dyDescent="0.35">
      <c r="A225" s="28">
        <f>WEEKNUM(Table1[[#This Row],[Date]])</f>
        <v>4</v>
      </c>
      <c r="B225" s="35" t="s">
        <v>24</v>
      </c>
      <c r="C225" s="31">
        <v>46044</v>
      </c>
      <c r="D225" s="26" t="s">
        <v>11</v>
      </c>
      <c r="E225" s="49" t="s">
        <v>25</v>
      </c>
      <c r="F225" s="28" t="s">
        <v>282</v>
      </c>
      <c r="G225" s="28" t="s">
        <v>27</v>
      </c>
      <c r="H225" s="24">
        <v>3</v>
      </c>
      <c r="I225" s="51">
        <v>0</v>
      </c>
      <c r="J225" s="51"/>
      <c r="K225" s="28" t="s">
        <v>934</v>
      </c>
      <c r="L225" s="28" t="s">
        <v>934</v>
      </c>
      <c r="M225" s="28"/>
      <c r="N225" s="28" t="s">
        <v>934</v>
      </c>
      <c r="O225" s="22"/>
      <c r="P225" s="29" t="s">
        <v>171</v>
      </c>
    </row>
    <row r="226" spans="1:16" ht="21" x14ac:dyDescent="0.35">
      <c r="A226" s="28">
        <f>WEEKNUM(Table1[[#This Row],[Date]])</f>
        <v>4</v>
      </c>
      <c r="B226" s="35" t="s">
        <v>24</v>
      </c>
      <c r="C226" s="31">
        <v>46044</v>
      </c>
      <c r="D226" s="26" t="s">
        <v>11</v>
      </c>
      <c r="E226" s="49" t="s">
        <v>25</v>
      </c>
      <c r="F226" s="28" t="s">
        <v>294</v>
      </c>
      <c r="G226" s="28" t="s">
        <v>27</v>
      </c>
      <c r="H226" s="24">
        <v>4</v>
      </c>
      <c r="I226" s="50">
        <v>0</v>
      </c>
      <c r="J226" s="50"/>
      <c r="K226" s="28" t="s">
        <v>934</v>
      </c>
      <c r="L226" s="28" t="s">
        <v>934</v>
      </c>
      <c r="M226" s="28"/>
      <c r="N226" s="28" t="s">
        <v>934</v>
      </c>
      <c r="O226" s="22"/>
      <c r="P226" s="29" t="s">
        <v>171</v>
      </c>
    </row>
    <row r="227" spans="1:16" ht="21" x14ac:dyDescent="0.35">
      <c r="A227" s="28">
        <f>WEEKNUM(Table1[[#This Row],[Date]])</f>
        <v>4</v>
      </c>
      <c r="B227" s="35" t="s">
        <v>24</v>
      </c>
      <c r="C227" s="31">
        <v>46044</v>
      </c>
      <c r="D227" s="26" t="s">
        <v>11</v>
      </c>
      <c r="E227" s="52" t="s">
        <v>25</v>
      </c>
      <c r="F227" s="28" t="s">
        <v>432</v>
      </c>
      <c r="G227" s="28" t="s">
        <v>27</v>
      </c>
      <c r="H227" s="24">
        <v>15</v>
      </c>
      <c r="I227" s="50">
        <v>0</v>
      </c>
      <c r="J227" s="50"/>
      <c r="K227" s="28" t="s">
        <v>934</v>
      </c>
      <c r="L227" s="28" t="s">
        <v>934</v>
      </c>
      <c r="M227" s="28"/>
      <c r="N227" s="28" t="s">
        <v>934</v>
      </c>
      <c r="O227" s="22"/>
      <c r="P227" s="29" t="s">
        <v>171</v>
      </c>
    </row>
    <row r="228" spans="1:16" ht="21" x14ac:dyDescent="0.35">
      <c r="A228" s="28">
        <f>WEEKNUM(Table1[[#This Row],[Date]])</f>
        <v>4</v>
      </c>
      <c r="B228" s="35" t="s">
        <v>24</v>
      </c>
      <c r="C228" s="31">
        <v>46044</v>
      </c>
      <c r="D228" s="26" t="s">
        <v>11</v>
      </c>
      <c r="E228" s="49" t="s">
        <v>25</v>
      </c>
      <c r="F228" s="28" t="s">
        <v>322</v>
      </c>
      <c r="G228" s="28" t="s">
        <v>27</v>
      </c>
      <c r="H228" s="24">
        <v>4</v>
      </c>
      <c r="I228" s="50">
        <v>0</v>
      </c>
      <c r="J228" s="50"/>
      <c r="K228" s="28" t="s">
        <v>934</v>
      </c>
      <c r="L228" s="28" t="s">
        <v>934</v>
      </c>
      <c r="M228" s="28"/>
      <c r="N228" s="28" t="s">
        <v>934</v>
      </c>
      <c r="O228" s="22"/>
      <c r="P228" s="29" t="s">
        <v>171</v>
      </c>
    </row>
    <row r="229" spans="1:16" ht="21" x14ac:dyDescent="0.35">
      <c r="A229" s="28">
        <f>WEEKNUM(Table1[[#This Row],[Date]])</f>
        <v>4</v>
      </c>
      <c r="B229" s="35" t="s">
        <v>24</v>
      </c>
      <c r="C229" s="31">
        <v>46044</v>
      </c>
      <c r="D229" s="26" t="s">
        <v>11</v>
      </c>
      <c r="E229" s="52" t="s">
        <v>25</v>
      </c>
      <c r="F229" s="28" t="s">
        <v>433</v>
      </c>
      <c r="G229" s="28" t="s">
        <v>8</v>
      </c>
      <c r="H229" s="24">
        <v>7</v>
      </c>
      <c r="I229" s="50">
        <v>0</v>
      </c>
      <c r="J229" s="50"/>
      <c r="K229" s="28" t="s">
        <v>934</v>
      </c>
      <c r="L229" s="28" t="s">
        <v>934</v>
      </c>
      <c r="M229" s="28"/>
      <c r="N229" s="28" t="s">
        <v>934</v>
      </c>
      <c r="O229" s="22"/>
      <c r="P229" s="29" t="s">
        <v>171</v>
      </c>
    </row>
    <row r="230" spans="1:16" ht="21" x14ac:dyDescent="0.35">
      <c r="A230" s="28">
        <f>WEEKNUM(Table1[[#This Row],[Date]])</f>
        <v>4</v>
      </c>
      <c r="B230" s="35" t="s">
        <v>24</v>
      </c>
      <c r="C230" s="31">
        <v>46044</v>
      </c>
      <c r="D230" s="26" t="s">
        <v>11</v>
      </c>
      <c r="E230" s="52" t="s">
        <v>25</v>
      </c>
      <c r="F230" s="28" t="s">
        <v>434</v>
      </c>
      <c r="G230" s="28" t="s">
        <v>27</v>
      </c>
      <c r="H230" s="24">
        <v>8</v>
      </c>
      <c r="I230" s="50">
        <v>0</v>
      </c>
      <c r="J230" s="50"/>
      <c r="K230" s="28" t="s">
        <v>934</v>
      </c>
      <c r="L230" s="28" t="s">
        <v>934</v>
      </c>
      <c r="M230" s="28"/>
      <c r="N230" s="28" t="s">
        <v>934</v>
      </c>
      <c r="O230" s="22"/>
      <c r="P230" s="29" t="s">
        <v>171</v>
      </c>
    </row>
    <row r="231" spans="1:16" ht="21" x14ac:dyDescent="0.35">
      <c r="A231" s="28">
        <f>WEEKNUM(Table1[[#This Row],[Date]])</f>
        <v>4</v>
      </c>
      <c r="B231" s="35" t="s">
        <v>24</v>
      </c>
      <c r="C231" s="31">
        <v>46044</v>
      </c>
      <c r="D231" s="26" t="s">
        <v>11</v>
      </c>
      <c r="E231" s="52" t="s">
        <v>25</v>
      </c>
      <c r="F231" s="28" t="s">
        <v>435</v>
      </c>
      <c r="G231" s="28" t="s">
        <v>27</v>
      </c>
      <c r="H231" s="24">
        <v>24</v>
      </c>
      <c r="I231" s="50">
        <v>0</v>
      </c>
      <c r="J231" s="50"/>
      <c r="K231" s="28" t="s">
        <v>934</v>
      </c>
      <c r="L231" s="28" t="s">
        <v>934</v>
      </c>
      <c r="M231" s="28"/>
      <c r="N231" s="28" t="s">
        <v>934</v>
      </c>
      <c r="O231" s="22"/>
      <c r="P231" s="29" t="s">
        <v>171</v>
      </c>
    </row>
    <row r="232" spans="1:16" ht="21" x14ac:dyDescent="0.35">
      <c r="A232" s="28">
        <f>WEEKNUM(Table1[[#This Row],[Date]])</f>
        <v>4</v>
      </c>
      <c r="B232" s="35" t="s">
        <v>24</v>
      </c>
      <c r="C232" s="31">
        <v>46044</v>
      </c>
      <c r="D232" s="26" t="s">
        <v>11</v>
      </c>
      <c r="E232" s="52" t="s">
        <v>25</v>
      </c>
      <c r="F232" s="28" t="s">
        <v>436</v>
      </c>
      <c r="G232" s="28" t="s">
        <v>8</v>
      </c>
      <c r="H232" s="24">
        <v>7</v>
      </c>
      <c r="I232" s="24">
        <v>1</v>
      </c>
      <c r="J232" s="50" t="s">
        <v>12</v>
      </c>
      <c r="K232" s="28" t="s">
        <v>61</v>
      </c>
      <c r="L232" s="28" t="s">
        <v>39</v>
      </c>
      <c r="M232" s="50">
        <v>251683</v>
      </c>
      <c r="N232" s="22" t="s">
        <v>166</v>
      </c>
      <c r="O232" s="50" t="s">
        <v>437</v>
      </c>
      <c r="P232" s="50" t="s">
        <v>16</v>
      </c>
    </row>
    <row r="233" spans="1:16" ht="21" x14ac:dyDescent="0.35">
      <c r="A233" s="28">
        <f>WEEKNUM(Table1[[#This Row],[Date]])</f>
        <v>4</v>
      </c>
      <c r="B233" s="35" t="s">
        <v>24</v>
      </c>
      <c r="C233" s="31">
        <v>46044</v>
      </c>
      <c r="D233" s="26" t="s">
        <v>11</v>
      </c>
      <c r="E233" s="52" t="s">
        <v>25</v>
      </c>
      <c r="F233" s="28" t="s">
        <v>438</v>
      </c>
      <c r="G233" s="28" t="s">
        <v>8</v>
      </c>
      <c r="H233" s="24">
        <v>3</v>
      </c>
      <c r="I233" s="50">
        <v>0</v>
      </c>
      <c r="J233" s="50"/>
      <c r="K233" s="28" t="s">
        <v>934</v>
      </c>
      <c r="L233" s="28" t="s">
        <v>934</v>
      </c>
      <c r="M233" s="28"/>
      <c r="N233" s="28" t="s">
        <v>934</v>
      </c>
      <c r="O233" s="22"/>
      <c r="P233" s="29" t="s">
        <v>171</v>
      </c>
    </row>
    <row r="234" spans="1:16" ht="21" x14ac:dyDescent="0.35">
      <c r="A234" s="28">
        <f>WEEKNUM(Table1[[#This Row],[Date]])</f>
        <v>4</v>
      </c>
      <c r="B234" s="35" t="s">
        <v>24</v>
      </c>
      <c r="C234" s="31">
        <v>46044</v>
      </c>
      <c r="D234" s="26" t="s">
        <v>11</v>
      </c>
      <c r="E234" s="53" t="s">
        <v>18</v>
      </c>
      <c r="F234" s="28" t="s">
        <v>368</v>
      </c>
      <c r="G234" s="28" t="s">
        <v>27</v>
      </c>
      <c r="H234" s="24">
        <v>12</v>
      </c>
      <c r="I234" s="24">
        <v>1</v>
      </c>
      <c r="J234" s="50"/>
      <c r="K234" s="28" t="s">
        <v>934</v>
      </c>
      <c r="L234" s="28" t="s">
        <v>934</v>
      </c>
      <c r="M234" s="28"/>
      <c r="N234" s="28" t="s">
        <v>934</v>
      </c>
      <c r="O234" s="22"/>
      <c r="P234" s="29" t="s">
        <v>171</v>
      </c>
    </row>
    <row r="235" spans="1:16" ht="21" x14ac:dyDescent="0.35">
      <c r="A235" s="28">
        <f>WEEKNUM(Table1[[#This Row],[Date]])</f>
        <v>4</v>
      </c>
      <c r="B235" s="35" t="s">
        <v>24</v>
      </c>
      <c r="C235" s="31">
        <v>46044</v>
      </c>
      <c r="D235" s="26" t="s">
        <v>11</v>
      </c>
      <c r="E235" s="53" t="s">
        <v>18</v>
      </c>
      <c r="F235" s="28" t="s">
        <v>439</v>
      </c>
      <c r="G235" s="28" t="s">
        <v>8</v>
      </c>
      <c r="H235" s="24">
        <v>1</v>
      </c>
      <c r="I235" s="24">
        <v>1</v>
      </c>
      <c r="J235" s="50" t="s">
        <v>440</v>
      </c>
      <c r="K235" s="28" t="s">
        <v>61</v>
      </c>
      <c r="L235" s="28" t="s">
        <v>159</v>
      </c>
      <c r="M235" s="50">
        <v>251684</v>
      </c>
      <c r="N235" s="22" t="s">
        <v>164</v>
      </c>
      <c r="O235" s="50" t="s">
        <v>441</v>
      </c>
      <c r="P235" s="50" t="s">
        <v>16</v>
      </c>
    </row>
    <row r="236" spans="1:16" ht="21" x14ac:dyDescent="0.35">
      <c r="A236" s="28">
        <f>WEEKNUM(Table1[[#This Row],[Date]])</f>
        <v>4</v>
      </c>
      <c r="B236" s="35" t="s">
        <v>24</v>
      </c>
      <c r="C236" s="31">
        <v>46044</v>
      </c>
      <c r="D236" s="26" t="s">
        <v>11</v>
      </c>
      <c r="E236" s="53" t="s">
        <v>18</v>
      </c>
      <c r="F236" s="28" t="s">
        <v>231</v>
      </c>
      <c r="G236" s="28" t="s">
        <v>27</v>
      </c>
      <c r="H236" s="24">
        <v>42</v>
      </c>
      <c r="I236" s="50">
        <v>0</v>
      </c>
      <c r="J236" s="50"/>
      <c r="K236" s="28" t="s">
        <v>934</v>
      </c>
      <c r="L236" s="28" t="s">
        <v>934</v>
      </c>
      <c r="M236" s="28"/>
      <c r="N236" s="28" t="s">
        <v>934</v>
      </c>
      <c r="O236" s="22"/>
      <c r="P236" s="29" t="s">
        <v>171</v>
      </c>
    </row>
    <row r="237" spans="1:16" ht="21" x14ac:dyDescent="0.35">
      <c r="A237" s="28">
        <f>WEEKNUM(Table1[[#This Row],[Date]])</f>
        <v>4</v>
      </c>
      <c r="B237" s="35" t="s">
        <v>24</v>
      </c>
      <c r="C237" s="31">
        <v>46044</v>
      </c>
      <c r="D237" s="26" t="s">
        <v>11</v>
      </c>
      <c r="E237" s="53" t="s">
        <v>18</v>
      </c>
      <c r="F237" s="28" t="s">
        <v>442</v>
      </c>
      <c r="G237" s="28" t="s">
        <v>8</v>
      </c>
      <c r="H237" s="24">
        <v>1</v>
      </c>
      <c r="I237" s="50">
        <v>0</v>
      </c>
      <c r="J237" s="50"/>
      <c r="K237" s="28" t="s">
        <v>934</v>
      </c>
      <c r="L237" s="28" t="s">
        <v>934</v>
      </c>
      <c r="M237" s="28"/>
      <c r="N237" s="28" t="s">
        <v>934</v>
      </c>
      <c r="O237" s="22"/>
      <c r="P237" s="29" t="s">
        <v>171</v>
      </c>
    </row>
    <row r="238" spans="1:16" ht="21.6" thickBot="1" x14ac:dyDescent="0.4">
      <c r="A238" s="28">
        <f>WEEKNUM(Table1[[#This Row],[Date]])</f>
        <v>4</v>
      </c>
      <c r="B238" s="35" t="s">
        <v>24</v>
      </c>
      <c r="C238" s="31">
        <v>46044</v>
      </c>
      <c r="D238" s="26" t="s">
        <v>11</v>
      </c>
      <c r="E238" s="54" t="s">
        <v>18</v>
      </c>
      <c r="F238" s="28" t="s">
        <v>443</v>
      </c>
      <c r="G238" s="28" t="s">
        <v>8</v>
      </c>
      <c r="H238" s="24">
        <v>9</v>
      </c>
      <c r="I238" s="24">
        <v>1</v>
      </c>
      <c r="J238" s="55" t="s">
        <v>15</v>
      </c>
      <c r="K238" s="28" t="s">
        <v>353</v>
      </c>
      <c r="L238" s="55" t="s">
        <v>19</v>
      </c>
      <c r="M238" s="55">
        <v>251685</v>
      </c>
      <c r="N238" s="22" t="s">
        <v>164</v>
      </c>
      <c r="O238" s="55" t="s">
        <v>444</v>
      </c>
      <c r="P238" s="55" t="s">
        <v>14</v>
      </c>
    </row>
    <row r="239" spans="1:16" ht="21.6" thickTop="1" x14ac:dyDescent="0.3">
      <c r="A239" s="28">
        <f>WEEKNUM(Table1[[#This Row],[Date]])</f>
        <v>4</v>
      </c>
      <c r="B239" s="35" t="s">
        <v>24</v>
      </c>
      <c r="C239" s="31">
        <v>46044</v>
      </c>
      <c r="D239" s="26" t="s">
        <v>332</v>
      </c>
      <c r="E239" s="22" t="s">
        <v>38</v>
      </c>
      <c r="F239" s="28" t="s">
        <v>445</v>
      </c>
      <c r="G239" s="28" t="s">
        <v>8</v>
      </c>
      <c r="H239" s="24"/>
      <c r="I239" s="24">
        <v>1</v>
      </c>
      <c r="J239" s="28"/>
      <c r="K239" s="28" t="s">
        <v>353</v>
      </c>
      <c r="L239" s="28" t="s">
        <v>39</v>
      </c>
      <c r="M239" s="28">
        <v>202302631</v>
      </c>
      <c r="N239" s="28" t="s">
        <v>166</v>
      </c>
      <c r="O239" s="28" t="s">
        <v>446</v>
      </c>
      <c r="P239" s="28" t="s">
        <v>14</v>
      </c>
    </row>
    <row r="240" spans="1:16" ht="21" x14ac:dyDescent="0.3">
      <c r="A240" s="28">
        <f>WEEKNUM(Table1[[#This Row],[Date]])</f>
        <v>4</v>
      </c>
      <c r="B240" s="35" t="s">
        <v>24</v>
      </c>
      <c r="C240" s="31">
        <v>46044</v>
      </c>
      <c r="D240" s="26" t="s">
        <v>332</v>
      </c>
      <c r="E240" s="22" t="s">
        <v>38</v>
      </c>
      <c r="F240" s="28" t="s">
        <v>447</v>
      </c>
      <c r="G240" s="28" t="s">
        <v>8</v>
      </c>
      <c r="H240" s="24"/>
      <c r="I240" s="24">
        <v>1</v>
      </c>
      <c r="J240" s="28" t="s">
        <v>451</v>
      </c>
      <c r="K240" s="28" t="s">
        <v>353</v>
      </c>
      <c r="L240" s="28" t="s">
        <v>334</v>
      </c>
      <c r="M240" s="28">
        <v>202302633</v>
      </c>
      <c r="N240" s="28" t="s">
        <v>164</v>
      </c>
      <c r="O240" s="28" t="s">
        <v>448</v>
      </c>
      <c r="P240" s="28" t="s">
        <v>14</v>
      </c>
    </row>
    <row r="241" spans="1:16" ht="21" x14ac:dyDescent="0.3">
      <c r="A241" s="28">
        <f>WEEKNUM(Table1[[#This Row],[Date]])</f>
        <v>4</v>
      </c>
      <c r="B241" s="35" t="s">
        <v>24</v>
      </c>
      <c r="C241" s="31">
        <v>46044</v>
      </c>
      <c r="D241" s="26" t="s">
        <v>332</v>
      </c>
      <c r="E241" s="22" t="s">
        <v>38</v>
      </c>
      <c r="F241" s="28" t="s">
        <v>320</v>
      </c>
      <c r="G241" s="28" t="s">
        <v>8</v>
      </c>
      <c r="H241" s="24"/>
      <c r="I241" s="24">
        <v>1</v>
      </c>
      <c r="J241" s="28" t="s">
        <v>87</v>
      </c>
      <c r="K241" s="28" t="s">
        <v>353</v>
      </c>
      <c r="L241" s="28" t="s">
        <v>83</v>
      </c>
      <c r="M241" s="28">
        <v>202302634</v>
      </c>
      <c r="N241" s="28" t="s">
        <v>166</v>
      </c>
      <c r="O241" s="28" t="s">
        <v>449</v>
      </c>
      <c r="P241" s="28" t="s">
        <v>14</v>
      </c>
    </row>
    <row r="242" spans="1:16" ht="21" x14ac:dyDescent="0.3">
      <c r="A242" s="28">
        <f>WEEKNUM(Table1[[#This Row],[Date]])</f>
        <v>4</v>
      </c>
      <c r="B242" s="35" t="s">
        <v>24</v>
      </c>
      <c r="C242" s="31">
        <v>46044</v>
      </c>
      <c r="D242" s="26" t="s">
        <v>332</v>
      </c>
      <c r="E242" s="22" t="s">
        <v>38</v>
      </c>
      <c r="F242" s="28" t="s">
        <v>228</v>
      </c>
      <c r="G242" s="28" t="s">
        <v>8</v>
      </c>
      <c r="H242" s="24"/>
      <c r="I242" s="24">
        <v>1</v>
      </c>
      <c r="J242" s="28" t="s">
        <v>229</v>
      </c>
      <c r="K242" s="28" t="s">
        <v>353</v>
      </c>
      <c r="L242" s="28" t="s">
        <v>344</v>
      </c>
      <c r="M242" s="28">
        <v>202302635</v>
      </c>
      <c r="N242" s="28" t="s">
        <v>164</v>
      </c>
      <c r="O242" s="28" t="s">
        <v>450</v>
      </c>
      <c r="P242" s="28" t="s">
        <v>14</v>
      </c>
    </row>
    <row r="243" spans="1:16" ht="36" x14ac:dyDescent="0.3">
      <c r="A243" s="28">
        <f>WEEKNUM(Table1[[#This Row],[Date]])</f>
        <v>4</v>
      </c>
      <c r="B243" s="35" t="s">
        <v>24</v>
      </c>
      <c r="C243" s="31">
        <v>46045</v>
      </c>
      <c r="D243" s="26" t="s">
        <v>286</v>
      </c>
      <c r="E243" s="22" t="s">
        <v>38</v>
      </c>
      <c r="F243" s="28" t="s">
        <v>139</v>
      </c>
      <c r="G243" s="28" t="s">
        <v>8</v>
      </c>
      <c r="H243" s="24"/>
      <c r="I243" s="24">
        <v>1</v>
      </c>
      <c r="J243" s="28"/>
      <c r="K243" s="28" t="s">
        <v>479</v>
      </c>
      <c r="L243" s="28" t="s">
        <v>453</v>
      </c>
      <c r="M243" s="28">
        <v>202302636</v>
      </c>
      <c r="N243" s="28" t="s">
        <v>166</v>
      </c>
      <c r="O243" s="28" t="s">
        <v>454</v>
      </c>
      <c r="P243" s="28" t="s">
        <v>46</v>
      </c>
    </row>
    <row r="244" spans="1:16" ht="21" x14ac:dyDescent="0.3">
      <c r="A244" s="28">
        <f>WEEKNUM(Table1[[#This Row],[Date]])</f>
        <v>4</v>
      </c>
      <c r="B244" s="35" t="s">
        <v>24</v>
      </c>
      <c r="C244" s="31">
        <v>46045</v>
      </c>
      <c r="D244" s="26" t="s">
        <v>332</v>
      </c>
      <c r="E244" s="22" t="s">
        <v>38</v>
      </c>
      <c r="F244" s="28" t="s">
        <v>455</v>
      </c>
      <c r="G244" s="28" t="s">
        <v>8</v>
      </c>
      <c r="H244" s="24"/>
      <c r="I244" s="24">
        <v>1</v>
      </c>
      <c r="J244" s="28" t="s">
        <v>9</v>
      </c>
      <c r="K244" s="28" t="s">
        <v>353</v>
      </c>
      <c r="L244" s="28" t="s">
        <v>344</v>
      </c>
      <c r="M244" s="28">
        <v>202302637</v>
      </c>
      <c r="N244" s="28" t="s">
        <v>164</v>
      </c>
      <c r="O244" s="28" t="s">
        <v>357</v>
      </c>
      <c r="P244" s="28" t="s">
        <v>14</v>
      </c>
    </row>
    <row r="245" spans="1:16" ht="21" x14ac:dyDescent="0.3">
      <c r="A245" s="28">
        <f>WEEKNUM(Table1[[#This Row],[Date]])</f>
        <v>4</v>
      </c>
      <c r="B245" s="35" t="s">
        <v>24</v>
      </c>
      <c r="C245" s="31">
        <v>46045</v>
      </c>
      <c r="D245" s="26" t="s">
        <v>286</v>
      </c>
      <c r="E245" s="22" t="s">
        <v>38</v>
      </c>
      <c r="F245" s="28" t="s">
        <v>456</v>
      </c>
      <c r="G245" s="28" t="s">
        <v>27</v>
      </c>
      <c r="H245" s="24"/>
      <c r="I245" s="24">
        <v>1</v>
      </c>
      <c r="J245" s="28" t="s">
        <v>465</v>
      </c>
      <c r="K245" s="28" t="s">
        <v>353</v>
      </c>
      <c r="L245" s="28" t="s">
        <v>13</v>
      </c>
      <c r="M245" s="28">
        <v>202302638</v>
      </c>
      <c r="N245" s="28" t="s">
        <v>166</v>
      </c>
      <c r="O245" s="28" t="s">
        <v>457</v>
      </c>
      <c r="P245" s="28" t="s">
        <v>14</v>
      </c>
    </row>
    <row r="246" spans="1:16" ht="21" x14ac:dyDescent="0.3">
      <c r="A246" s="28">
        <f>WEEKNUM(Table1[[#This Row],[Date]])</f>
        <v>4</v>
      </c>
      <c r="B246" s="35" t="s">
        <v>24</v>
      </c>
      <c r="C246" s="31">
        <v>46045</v>
      </c>
      <c r="D246" s="26" t="s">
        <v>332</v>
      </c>
      <c r="E246" s="22" t="s">
        <v>38</v>
      </c>
      <c r="F246" s="28" t="s">
        <v>458</v>
      </c>
      <c r="G246" s="28" t="s">
        <v>8</v>
      </c>
      <c r="H246" s="24"/>
      <c r="I246" s="24">
        <v>1</v>
      </c>
      <c r="J246" s="28" t="s">
        <v>9</v>
      </c>
      <c r="K246" s="28" t="s">
        <v>353</v>
      </c>
      <c r="L246" s="28" t="s">
        <v>344</v>
      </c>
      <c r="M246" s="28">
        <v>202302639</v>
      </c>
      <c r="N246" s="28" t="s">
        <v>166</v>
      </c>
      <c r="O246" s="28" t="s">
        <v>459</v>
      </c>
      <c r="P246" s="28" t="s">
        <v>14</v>
      </c>
    </row>
    <row r="247" spans="1:16" ht="21" x14ac:dyDescent="0.3">
      <c r="A247" s="28">
        <f>WEEKNUM(Table1[[#This Row],[Date]])</f>
        <v>4</v>
      </c>
      <c r="B247" s="35" t="s">
        <v>24</v>
      </c>
      <c r="C247" s="31">
        <v>46045</v>
      </c>
      <c r="D247" s="26" t="s">
        <v>11</v>
      </c>
      <c r="E247" s="22" t="s">
        <v>25</v>
      </c>
      <c r="F247" s="28" t="s">
        <v>460</v>
      </c>
      <c r="G247" s="28" t="s">
        <v>27</v>
      </c>
      <c r="H247" s="24">
        <v>3</v>
      </c>
      <c r="I247" s="28">
        <v>0</v>
      </c>
      <c r="J247" s="28"/>
      <c r="K247" s="28" t="s">
        <v>934</v>
      </c>
      <c r="L247" s="28" t="s">
        <v>934</v>
      </c>
      <c r="M247" s="28"/>
      <c r="N247" s="28" t="s">
        <v>934</v>
      </c>
      <c r="O247" s="22"/>
      <c r="P247" s="29" t="s">
        <v>171</v>
      </c>
    </row>
    <row r="248" spans="1:16" ht="21" x14ac:dyDescent="0.3">
      <c r="A248" s="28">
        <f>WEEKNUM(Table1[[#This Row],[Date]])</f>
        <v>4</v>
      </c>
      <c r="B248" s="35" t="s">
        <v>24</v>
      </c>
      <c r="C248" s="31">
        <v>46045</v>
      </c>
      <c r="D248" s="26" t="s">
        <v>11</v>
      </c>
      <c r="E248" s="22" t="s">
        <v>25</v>
      </c>
      <c r="F248" s="28" t="s">
        <v>461</v>
      </c>
      <c r="G248" s="28" t="s">
        <v>27</v>
      </c>
      <c r="H248" s="24">
        <v>3</v>
      </c>
      <c r="I248" s="28">
        <v>0</v>
      </c>
      <c r="J248" s="28"/>
      <c r="K248" s="28" t="s">
        <v>934</v>
      </c>
      <c r="L248" s="28" t="s">
        <v>934</v>
      </c>
      <c r="M248" s="28"/>
      <c r="N248" s="28" t="s">
        <v>934</v>
      </c>
      <c r="O248" s="22"/>
      <c r="P248" s="29" t="s">
        <v>171</v>
      </c>
    </row>
    <row r="249" spans="1:16" ht="21" x14ac:dyDescent="0.3">
      <c r="A249" s="28">
        <f>WEEKNUM(Table1[[#This Row],[Date]])</f>
        <v>4</v>
      </c>
      <c r="B249" s="35" t="s">
        <v>24</v>
      </c>
      <c r="C249" s="31">
        <v>46045</v>
      </c>
      <c r="D249" s="26" t="s">
        <v>11</v>
      </c>
      <c r="E249" s="22" t="s">
        <v>25</v>
      </c>
      <c r="F249" s="28" t="s">
        <v>306</v>
      </c>
      <c r="G249" s="28" t="s">
        <v>27</v>
      </c>
      <c r="H249" s="24">
        <v>18</v>
      </c>
      <c r="I249" s="24">
        <v>1</v>
      </c>
      <c r="J249" s="28" t="s">
        <v>17</v>
      </c>
      <c r="K249" s="28" t="s">
        <v>61</v>
      </c>
      <c r="L249" s="28" t="s">
        <v>13</v>
      </c>
      <c r="M249" s="28">
        <v>251686</v>
      </c>
      <c r="N249" s="28" t="s">
        <v>164</v>
      </c>
      <c r="O249" s="28" t="s">
        <v>478</v>
      </c>
      <c r="P249" s="28" t="s">
        <v>16</v>
      </c>
    </row>
    <row r="250" spans="1:16" ht="21" x14ac:dyDescent="0.3">
      <c r="A250" s="28">
        <f>WEEKNUM(Table1[[#This Row],[Date]])</f>
        <v>4</v>
      </c>
      <c r="B250" s="35" t="s">
        <v>24</v>
      </c>
      <c r="C250" s="31">
        <v>46045</v>
      </c>
      <c r="D250" s="26" t="s">
        <v>11</v>
      </c>
      <c r="E250" s="22" t="s">
        <v>25</v>
      </c>
      <c r="F250" s="28" t="s">
        <v>306</v>
      </c>
      <c r="G250" s="28" t="s">
        <v>27</v>
      </c>
      <c r="H250" s="24"/>
      <c r="I250" s="24">
        <v>1</v>
      </c>
      <c r="J250" s="28" t="s">
        <v>12</v>
      </c>
      <c r="K250" s="28" t="s">
        <v>349</v>
      </c>
      <c r="L250" s="28" t="s">
        <v>45</v>
      </c>
      <c r="M250" s="28">
        <v>251687</v>
      </c>
      <c r="N250" s="28" t="s">
        <v>166</v>
      </c>
      <c r="O250" s="28" t="s">
        <v>462</v>
      </c>
      <c r="P250" s="28" t="s">
        <v>11</v>
      </c>
    </row>
    <row r="251" spans="1:16" ht="21" x14ac:dyDescent="0.3">
      <c r="A251" s="28">
        <f>WEEKNUM(Table1[[#This Row],[Date]])</f>
        <v>4</v>
      </c>
      <c r="B251" s="35" t="s">
        <v>24</v>
      </c>
      <c r="C251" s="31">
        <v>46045</v>
      </c>
      <c r="D251" s="26" t="s">
        <v>11</v>
      </c>
      <c r="E251" s="22" t="s">
        <v>25</v>
      </c>
      <c r="F251" s="28" t="s">
        <v>463</v>
      </c>
      <c r="G251" s="28" t="s">
        <v>8</v>
      </c>
      <c r="H251" s="24">
        <v>4</v>
      </c>
      <c r="I251" s="28">
        <v>0</v>
      </c>
      <c r="J251" s="28"/>
      <c r="K251" s="28" t="s">
        <v>934</v>
      </c>
      <c r="L251" s="28" t="s">
        <v>934</v>
      </c>
      <c r="M251" s="28"/>
      <c r="N251" s="28" t="s">
        <v>934</v>
      </c>
      <c r="O251" s="22"/>
      <c r="P251" s="29" t="s">
        <v>171</v>
      </c>
    </row>
    <row r="252" spans="1:16" ht="21" x14ac:dyDescent="0.3">
      <c r="A252" s="28">
        <f>WEEKNUM(Table1[[#This Row],[Date]])</f>
        <v>4</v>
      </c>
      <c r="B252" s="35" t="s">
        <v>24</v>
      </c>
      <c r="C252" s="31">
        <v>46045</v>
      </c>
      <c r="D252" s="26" t="s">
        <v>11</v>
      </c>
      <c r="E252" s="22" t="s">
        <v>25</v>
      </c>
      <c r="F252" s="28" t="s">
        <v>436</v>
      </c>
      <c r="G252" s="28" t="s">
        <v>27</v>
      </c>
      <c r="H252" s="24">
        <v>56</v>
      </c>
      <c r="I252" s="28">
        <v>0</v>
      </c>
      <c r="J252" s="28"/>
      <c r="K252" s="28" t="s">
        <v>934</v>
      </c>
      <c r="L252" s="28" t="s">
        <v>934</v>
      </c>
      <c r="M252" s="28"/>
      <c r="N252" s="28" t="s">
        <v>934</v>
      </c>
      <c r="O252" s="22"/>
      <c r="P252" s="29" t="s">
        <v>171</v>
      </c>
    </row>
    <row r="253" spans="1:16" ht="21" x14ac:dyDescent="0.3">
      <c r="A253" s="28">
        <f>WEEKNUM(Table1[[#This Row],[Date]])</f>
        <v>4</v>
      </c>
      <c r="B253" s="35" t="s">
        <v>24</v>
      </c>
      <c r="C253" s="31">
        <v>46045</v>
      </c>
      <c r="D253" s="26" t="s">
        <v>11</v>
      </c>
      <c r="E253" s="22" t="s">
        <v>25</v>
      </c>
      <c r="F253" s="28" t="s">
        <v>464</v>
      </c>
      <c r="G253" s="28" t="s">
        <v>8</v>
      </c>
      <c r="H253" s="24">
        <v>4</v>
      </c>
      <c r="I253" s="24">
        <v>1</v>
      </c>
      <c r="J253" s="28" t="s">
        <v>229</v>
      </c>
      <c r="K253" s="28" t="s">
        <v>351</v>
      </c>
      <c r="L253" s="28" t="s">
        <v>159</v>
      </c>
      <c r="M253" s="28">
        <v>251688</v>
      </c>
      <c r="N253" s="28" t="s">
        <v>164</v>
      </c>
      <c r="O253" s="28"/>
      <c r="P253" s="28" t="s">
        <v>11</v>
      </c>
    </row>
    <row r="254" spans="1:16" ht="21" x14ac:dyDescent="0.3">
      <c r="A254" s="28">
        <f>WEEKNUM(Table1[[#This Row],[Date]])</f>
        <v>4</v>
      </c>
      <c r="B254" s="35" t="s">
        <v>24</v>
      </c>
      <c r="C254" s="31">
        <v>46045</v>
      </c>
      <c r="D254" s="26" t="s">
        <v>11</v>
      </c>
      <c r="E254" s="22" t="s">
        <v>25</v>
      </c>
      <c r="F254" s="28" t="s">
        <v>439</v>
      </c>
      <c r="G254" s="28" t="s">
        <v>8</v>
      </c>
      <c r="H254" s="24">
        <v>6</v>
      </c>
      <c r="I254" s="24">
        <v>1</v>
      </c>
      <c r="J254" s="28" t="s">
        <v>465</v>
      </c>
      <c r="K254" s="28" t="s">
        <v>353</v>
      </c>
      <c r="L254" s="28" t="s">
        <v>28</v>
      </c>
      <c r="M254" s="28">
        <v>251689</v>
      </c>
      <c r="N254" s="28" t="s">
        <v>166</v>
      </c>
      <c r="O254" s="28"/>
      <c r="P254" s="28" t="s">
        <v>14</v>
      </c>
    </row>
    <row r="255" spans="1:16" ht="21" x14ac:dyDescent="0.3">
      <c r="A255" s="28">
        <f>WEEKNUM(Table1[[#This Row],[Date]])</f>
        <v>4</v>
      </c>
      <c r="B255" s="35" t="s">
        <v>24</v>
      </c>
      <c r="C255" s="31">
        <v>46045</v>
      </c>
      <c r="D255" s="26" t="s">
        <v>11</v>
      </c>
      <c r="E255" s="22" t="s">
        <v>25</v>
      </c>
      <c r="F255" s="28" t="s">
        <v>439</v>
      </c>
      <c r="G255" s="28" t="s">
        <v>8</v>
      </c>
      <c r="H255" s="24"/>
      <c r="I255" s="24">
        <v>1</v>
      </c>
      <c r="J255" s="28" t="s">
        <v>15</v>
      </c>
      <c r="K255" s="28" t="s">
        <v>740</v>
      </c>
      <c r="L255" s="28" t="s">
        <v>466</v>
      </c>
      <c r="M255" s="28">
        <v>251690</v>
      </c>
      <c r="N255" s="28" t="s">
        <v>166</v>
      </c>
      <c r="O255" s="28" t="s">
        <v>467</v>
      </c>
      <c r="P255" s="28" t="s">
        <v>11</v>
      </c>
    </row>
    <row r="256" spans="1:16" ht="21" x14ac:dyDescent="0.3">
      <c r="A256" s="28">
        <f>WEEKNUM(Table1[[#This Row],[Date]])</f>
        <v>4</v>
      </c>
      <c r="B256" s="35" t="s">
        <v>24</v>
      </c>
      <c r="C256" s="31">
        <v>46045</v>
      </c>
      <c r="D256" s="26" t="s">
        <v>11</v>
      </c>
      <c r="E256" s="22" t="s">
        <v>25</v>
      </c>
      <c r="F256" s="28" t="s">
        <v>468</v>
      </c>
      <c r="G256" s="28" t="s">
        <v>8</v>
      </c>
      <c r="H256" s="24">
        <v>5</v>
      </c>
      <c r="I256" s="24">
        <v>1</v>
      </c>
      <c r="J256" s="28" t="s">
        <v>12</v>
      </c>
      <c r="K256" s="28" t="s">
        <v>740</v>
      </c>
      <c r="L256" s="28" t="s">
        <v>13</v>
      </c>
      <c r="M256" s="28">
        <v>251691</v>
      </c>
      <c r="N256" s="28" t="s">
        <v>166</v>
      </c>
      <c r="O256" s="28" t="s">
        <v>275</v>
      </c>
      <c r="P256" s="28" t="s">
        <v>11</v>
      </c>
    </row>
    <row r="257" spans="1:16" ht="21" x14ac:dyDescent="0.3">
      <c r="A257" s="28">
        <f>WEEKNUM(Table1[[#This Row],[Date]])</f>
        <v>4</v>
      </c>
      <c r="B257" s="35" t="s">
        <v>24</v>
      </c>
      <c r="C257" s="31">
        <v>46045</v>
      </c>
      <c r="D257" s="26" t="s">
        <v>11</v>
      </c>
      <c r="E257" s="22" t="s">
        <v>25</v>
      </c>
      <c r="F257" s="28" t="s">
        <v>469</v>
      </c>
      <c r="G257" s="28" t="s">
        <v>8</v>
      </c>
      <c r="H257" s="24">
        <v>3</v>
      </c>
      <c r="I257" s="28">
        <v>0</v>
      </c>
      <c r="J257" s="28"/>
      <c r="K257" s="28" t="s">
        <v>934</v>
      </c>
      <c r="L257" s="28" t="s">
        <v>934</v>
      </c>
      <c r="M257" s="28"/>
      <c r="N257" s="28" t="s">
        <v>934</v>
      </c>
      <c r="O257" s="22"/>
      <c r="P257" s="29" t="s">
        <v>171</v>
      </c>
    </row>
    <row r="258" spans="1:16" ht="21" x14ac:dyDescent="0.3">
      <c r="A258" s="28">
        <f>WEEKNUM(Table1[[#This Row],[Date]])</f>
        <v>4</v>
      </c>
      <c r="B258" s="35" t="s">
        <v>24</v>
      </c>
      <c r="C258" s="31">
        <v>46045</v>
      </c>
      <c r="D258" s="26" t="s">
        <v>11</v>
      </c>
      <c r="E258" s="22" t="s">
        <v>25</v>
      </c>
      <c r="F258" s="28" t="s">
        <v>470</v>
      </c>
      <c r="G258" s="28" t="s">
        <v>8</v>
      </c>
      <c r="H258" s="24">
        <v>7</v>
      </c>
      <c r="I258" s="28">
        <v>0</v>
      </c>
      <c r="J258" s="28"/>
      <c r="K258" s="28" t="s">
        <v>934</v>
      </c>
      <c r="L258" s="28" t="s">
        <v>934</v>
      </c>
      <c r="M258" s="28"/>
      <c r="N258" s="28" t="s">
        <v>934</v>
      </c>
      <c r="O258" s="22"/>
      <c r="P258" s="29" t="s">
        <v>171</v>
      </c>
    </row>
    <row r="259" spans="1:16" ht="21" x14ac:dyDescent="0.3">
      <c r="A259" s="28">
        <f>WEEKNUM(Table1[[#This Row],[Date]])</f>
        <v>4</v>
      </c>
      <c r="B259" s="35" t="s">
        <v>24</v>
      </c>
      <c r="C259" s="31">
        <v>46045</v>
      </c>
      <c r="D259" s="26" t="s">
        <v>11</v>
      </c>
      <c r="E259" s="22" t="s">
        <v>18</v>
      </c>
      <c r="F259" s="28" t="s">
        <v>471</v>
      </c>
      <c r="G259" s="28" t="s">
        <v>27</v>
      </c>
      <c r="H259" s="24">
        <v>5</v>
      </c>
      <c r="I259" s="28">
        <v>0</v>
      </c>
      <c r="J259" s="28"/>
      <c r="K259" s="28" t="s">
        <v>934</v>
      </c>
      <c r="L259" s="28" t="s">
        <v>934</v>
      </c>
      <c r="M259" s="28"/>
      <c r="N259" s="28" t="s">
        <v>934</v>
      </c>
      <c r="O259" s="22"/>
      <c r="P259" s="29" t="s">
        <v>171</v>
      </c>
    </row>
    <row r="260" spans="1:16" ht="21" x14ac:dyDescent="0.3">
      <c r="A260" s="28">
        <f>WEEKNUM(Table1[[#This Row],[Date]])</f>
        <v>4</v>
      </c>
      <c r="B260" s="35" t="s">
        <v>24</v>
      </c>
      <c r="C260" s="31">
        <v>46045</v>
      </c>
      <c r="D260" s="26" t="s">
        <v>11</v>
      </c>
      <c r="E260" s="22" t="s">
        <v>18</v>
      </c>
      <c r="F260" s="28" t="s">
        <v>472</v>
      </c>
      <c r="G260" s="28" t="s">
        <v>8</v>
      </c>
      <c r="H260" s="24">
        <v>10</v>
      </c>
      <c r="I260" s="28">
        <v>0</v>
      </c>
      <c r="J260" s="28"/>
      <c r="K260" s="28" t="s">
        <v>934</v>
      </c>
      <c r="L260" s="28" t="s">
        <v>934</v>
      </c>
      <c r="M260" s="28"/>
      <c r="N260" s="28" t="s">
        <v>934</v>
      </c>
      <c r="O260" s="22"/>
      <c r="P260" s="29" t="s">
        <v>171</v>
      </c>
    </row>
    <row r="261" spans="1:16" ht="21" x14ac:dyDescent="0.3">
      <c r="A261" s="28">
        <f>WEEKNUM(Table1[[#This Row],[Date]])</f>
        <v>4</v>
      </c>
      <c r="B261" s="35" t="s">
        <v>24</v>
      </c>
      <c r="C261" s="31">
        <v>46045</v>
      </c>
      <c r="D261" s="26" t="s">
        <v>11</v>
      </c>
      <c r="E261" s="22" t="s">
        <v>18</v>
      </c>
      <c r="F261" s="28" t="s">
        <v>473</v>
      </c>
      <c r="G261" s="28" t="s">
        <v>8</v>
      </c>
      <c r="H261" s="24">
        <v>6</v>
      </c>
      <c r="I261" s="24">
        <v>1</v>
      </c>
      <c r="J261" s="28" t="s">
        <v>12</v>
      </c>
      <c r="K261" s="28" t="s">
        <v>61</v>
      </c>
      <c r="L261" s="28" t="s">
        <v>466</v>
      </c>
      <c r="M261" s="28">
        <v>251692</v>
      </c>
      <c r="N261" s="28" t="s">
        <v>166</v>
      </c>
      <c r="O261" s="28" t="s">
        <v>474</v>
      </c>
      <c r="P261" s="28" t="s">
        <v>16</v>
      </c>
    </row>
    <row r="262" spans="1:16" ht="21" x14ac:dyDescent="0.3">
      <c r="A262" s="28">
        <f>WEEKNUM(Table1[[#This Row],[Date]])</f>
        <v>4</v>
      </c>
      <c r="B262" s="35" t="s">
        <v>24</v>
      </c>
      <c r="C262" s="31">
        <v>46045</v>
      </c>
      <c r="D262" s="26" t="s">
        <v>11</v>
      </c>
      <c r="E262" s="22" t="s">
        <v>18</v>
      </c>
      <c r="F262" s="28" t="s">
        <v>475</v>
      </c>
      <c r="G262" s="28" t="s">
        <v>8</v>
      </c>
      <c r="H262" s="24">
        <v>3</v>
      </c>
      <c r="I262" s="28">
        <v>0</v>
      </c>
      <c r="J262" s="28"/>
      <c r="K262" s="28" t="s">
        <v>934</v>
      </c>
      <c r="L262" s="28" t="s">
        <v>934</v>
      </c>
      <c r="M262" s="28"/>
      <c r="N262" s="28" t="s">
        <v>934</v>
      </c>
      <c r="O262" s="22"/>
      <c r="P262" s="29" t="s">
        <v>171</v>
      </c>
    </row>
    <row r="263" spans="1:16" ht="21" x14ac:dyDescent="0.3">
      <c r="A263" s="28">
        <f>WEEKNUM(Table1[[#This Row],[Date]])</f>
        <v>4</v>
      </c>
      <c r="B263" s="35" t="s">
        <v>24</v>
      </c>
      <c r="C263" s="31">
        <v>46045</v>
      </c>
      <c r="D263" s="26" t="s">
        <v>11</v>
      </c>
      <c r="E263" s="22" t="s">
        <v>18</v>
      </c>
      <c r="F263" s="28" t="s">
        <v>367</v>
      </c>
      <c r="G263" s="28" t="s">
        <v>27</v>
      </c>
      <c r="H263" s="24">
        <v>6</v>
      </c>
      <c r="I263" s="28">
        <v>0</v>
      </c>
      <c r="J263" s="28"/>
      <c r="K263" s="28" t="s">
        <v>934</v>
      </c>
      <c r="L263" s="28" t="s">
        <v>934</v>
      </c>
      <c r="M263" s="28"/>
      <c r="N263" s="28" t="s">
        <v>934</v>
      </c>
      <c r="O263" s="22"/>
      <c r="P263" s="29" t="s">
        <v>171</v>
      </c>
    </row>
    <row r="264" spans="1:16" ht="21" x14ac:dyDescent="0.3">
      <c r="A264" s="28">
        <f>WEEKNUM(Table1[[#This Row],[Date]])</f>
        <v>4</v>
      </c>
      <c r="B264" s="35" t="s">
        <v>24</v>
      </c>
      <c r="C264" s="31">
        <v>46045</v>
      </c>
      <c r="D264" s="26" t="s">
        <v>11</v>
      </c>
      <c r="E264" s="22" t="s">
        <v>18</v>
      </c>
      <c r="F264" s="28" t="s">
        <v>476</v>
      </c>
      <c r="G264" s="28" t="s">
        <v>8</v>
      </c>
      <c r="H264" s="24">
        <v>9</v>
      </c>
      <c r="I264" s="28">
        <v>0</v>
      </c>
      <c r="J264" s="28"/>
      <c r="K264" s="28" t="s">
        <v>934</v>
      </c>
      <c r="L264" s="28" t="s">
        <v>934</v>
      </c>
      <c r="M264" s="28"/>
      <c r="N264" s="28" t="s">
        <v>934</v>
      </c>
      <c r="O264" s="22"/>
      <c r="P264" s="29" t="s">
        <v>171</v>
      </c>
    </row>
    <row r="265" spans="1:16" ht="21" x14ac:dyDescent="0.3">
      <c r="A265" s="28">
        <f>WEEKNUM(Table1[[#This Row],[Date]])</f>
        <v>4</v>
      </c>
      <c r="B265" s="35" t="s">
        <v>24</v>
      </c>
      <c r="C265" s="31">
        <v>46045</v>
      </c>
      <c r="D265" s="26" t="s">
        <v>11</v>
      </c>
      <c r="E265" s="22" t="s">
        <v>18</v>
      </c>
      <c r="F265" s="28" t="s">
        <v>477</v>
      </c>
      <c r="G265" s="28" t="s">
        <v>8</v>
      </c>
      <c r="H265" s="24">
        <v>3</v>
      </c>
      <c r="I265" s="28">
        <v>0</v>
      </c>
      <c r="J265" s="28"/>
      <c r="K265" s="28" t="s">
        <v>934</v>
      </c>
      <c r="L265" s="28" t="s">
        <v>934</v>
      </c>
      <c r="M265" s="28"/>
      <c r="N265" s="28" t="s">
        <v>934</v>
      </c>
      <c r="O265" s="22"/>
      <c r="P265" s="29" t="s">
        <v>171</v>
      </c>
    </row>
    <row r="266" spans="1:16" ht="21" x14ac:dyDescent="0.35">
      <c r="A266" s="28">
        <f>WEEKNUM(Table1[[#This Row],[Date]])</f>
        <v>5</v>
      </c>
      <c r="B266" s="35" t="s">
        <v>24</v>
      </c>
      <c r="C266" s="31">
        <v>46048</v>
      </c>
      <c r="D266" s="26" t="s">
        <v>11</v>
      </c>
      <c r="E266" s="33" t="s">
        <v>18</v>
      </c>
      <c r="F266" s="28" t="s">
        <v>433</v>
      </c>
      <c r="G266" s="28" t="s">
        <v>27</v>
      </c>
      <c r="H266" s="24">
        <v>42</v>
      </c>
      <c r="I266" s="24">
        <v>1</v>
      </c>
      <c r="J266" s="28" t="s">
        <v>12</v>
      </c>
      <c r="K266" s="28" t="s">
        <v>349</v>
      </c>
      <c r="L266" s="28" t="s">
        <v>19</v>
      </c>
      <c r="M266" s="28">
        <v>251693</v>
      </c>
      <c r="N266" s="22" t="s">
        <v>166</v>
      </c>
      <c r="O266" s="22" t="s">
        <v>490</v>
      </c>
      <c r="P266" s="51" t="s">
        <v>11</v>
      </c>
    </row>
    <row r="267" spans="1:16" ht="21" x14ac:dyDescent="0.35">
      <c r="A267" s="28">
        <f>WEEKNUM(Table1[[#This Row],[Date]])</f>
        <v>5</v>
      </c>
      <c r="B267" s="35" t="s">
        <v>24</v>
      </c>
      <c r="C267" s="31">
        <v>46048</v>
      </c>
      <c r="D267" s="26" t="s">
        <v>11</v>
      </c>
      <c r="E267" s="33" t="s">
        <v>18</v>
      </c>
      <c r="F267" s="28" t="s">
        <v>491</v>
      </c>
      <c r="G267" s="28" t="s">
        <v>27</v>
      </c>
      <c r="H267" s="24">
        <v>36</v>
      </c>
      <c r="I267" s="24">
        <v>1</v>
      </c>
      <c r="J267" s="28" t="s">
        <v>9</v>
      </c>
      <c r="K267" s="28" t="s">
        <v>349</v>
      </c>
      <c r="L267" s="28" t="s">
        <v>492</v>
      </c>
      <c r="M267" s="28">
        <v>251694</v>
      </c>
      <c r="N267" s="22" t="s">
        <v>164</v>
      </c>
      <c r="O267" s="22" t="s">
        <v>493</v>
      </c>
      <c r="P267" s="50" t="s">
        <v>11</v>
      </c>
    </row>
    <row r="268" spans="1:16" ht="21" x14ac:dyDescent="0.3">
      <c r="A268" s="28">
        <f>WEEKNUM(Table1[[#This Row],[Date]])</f>
        <v>5</v>
      </c>
      <c r="B268" s="35" t="s">
        <v>24</v>
      </c>
      <c r="C268" s="31">
        <v>46048</v>
      </c>
      <c r="D268" s="26" t="s">
        <v>11</v>
      </c>
      <c r="E268" s="33" t="s">
        <v>18</v>
      </c>
      <c r="F268" s="28" t="s">
        <v>494</v>
      </c>
      <c r="G268" s="28" t="s">
        <v>8</v>
      </c>
      <c r="H268" s="24">
        <v>3</v>
      </c>
      <c r="I268" s="24">
        <v>0</v>
      </c>
      <c r="J268" s="28"/>
      <c r="K268" s="28" t="s">
        <v>934</v>
      </c>
      <c r="L268" s="28" t="s">
        <v>934</v>
      </c>
      <c r="M268" s="28"/>
      <c r="N268" s="28" t="s">
        <v>934</v>
      </c>
      <c r="O268" s="22"/>
      <c r="P268" s="29" t="s">
        <v>171</v>
      </c>
    </row>
    <row r="269" spans="1:16" ht="21" x14ac:dyDescent="0.3">
      <c r="A269" s="28">
        <f>WEEKNUM(Table1[[#This Row],[Date]])</f>
        <v>5</v>
      </c>
      <c r="B269" s="35" t="s">
        <v>24</v>
      </c>
      <c r="C269" s="31">
        <v>46048</v>
      </c>
      <c r="D269" s="26" t="s">
        <v>11</v>
      </c>
      <c r="E269" s="33" t="s">
        <v>18</v>
      </c>
      <c r="F269" s="28" t="s">
        <v>495</v>
      </c>
      <c r="G269" s="28" t="s">
        <v>27</v>
      </c>
      <c r="H269" s="24">
        <v>60</v>
      </c>
      <c r="I269" s="24">
        <v>0</v>
      </c>
      <c r="J269" s="28"/>
      <c r="K269" s="28" t="s">
        <v>934</v>
      </c>
      <c r="L269" s="28" t="s">
        <v>934</v>
      </c>
      <c r="M269" s="28"/>
      <c r="N269" s="28" t="s">
        <v>934</v>
      </c>
      <c r="O269" s="22"/>
      <c r="P269" s="29" t="s">
        <v>171</v>
      </c>
    </row>
    <row r="270" spans="1:16" ht="21" x14ac:dyDescent="0.35">
      <c r="A270" s="28">
        <f>WEEKNUM(Table1[[#This Row],[Date]])</f>
        <v>5</v>
      </c>
      <c r="B270" s="35" t="s">
        <v>24</v>
      </c>
      <c r="C270" s="31">
        <v>46048</v>
      </c>
      <c r="D270" s="26" t="s">
        <v>11</v>
      </c>
      <c r="E270" s="33" t="s">
        <v>18</v>
      </c>
      <c r="F270" s="28" t="s">
        <v>496</v>
      </c>
      <c r="G270" s="28" t="s">
        <v>27</v>
      </c>
      <c r="H270" s="24">
        <v>1</v>
      </c>
      <c r="I270" s="24">
        <v>1</v>
      </c>
      <c r="J270" s="28" t="s">
        <v>9</v>
      </c>
      <c r="K270" s="28" t="s">
        <v>351</v>
      </c>
      <c r="L270" s="28" t="s">
        <v>497</v>
      </c>
      <c r="M270" s="28">
        <v>251695</v>
      </c>
      <c r="N270" s="22" t="s">
        <v>169</v>
      </c>
      <c r="O270" s="22" t="s">
        <v>283</v>
      </c>
      <c r="P270" s="50" t="s">
        <v>11</v>
      </c>
    </row>
    <row r="271" spans="1:16" ht="21" x14ac:dyDescent="0.35">
      <c r="A271" s="28">
        <f>WEEKNUM(Table1[[#This Row],[Date]])</f>
        <v>5</v>
      </c>
      <c r="B271" s="35" t="s">
        <v>24</v>
      </c>
      <c r="C271" s="31">
        <v>46048</v>
      </c>
      <c r="D271" s="26" t="s">
        <v>11</v>
      </c>
      <c r="E271" s="33" t="s">
        <v>18</v>
      </c>
      <c r="F271" s="28" t="s">
        <v>498</v>
      </c>
      <c r="G271" s="28" t="s">
        <v>8</v>
      </c>
      <c r="H271" s="24">
        <v>3</v>
      </c>
      <c r="I271" s="24">
        <v>1</v>
      </c>
      <c r="J271" s="28" t="s">
        <v>12</v>
      </c>
      <c r="K271" s="28" t="s">
        <v>353</v>
      </c>
      <c r="L271" s="28" t="s">
        <v>28</v>
      </c>
      <c r="M271" s="28">
        <v>251696</v>
      </c>
      <c r="N271" s="22" t="s">
        <v>166</v>
      </c>
      <c r="O271" s="22" t="s">
        <v>499</v>
      </c>
      <c r="P271" s="50" t="s">
        <v>14</v>
      </c>
    </row>
    <row r="272" spans="1:16" ht="21" x14ac:dyDescent="0.3">
      <c r="A272" s="28">
        <f>WEEKNUM(Table1[[#This Row],[Date]])</f>
        <v>5</v>
      </c>
      <c r="B272" s="35" t="s">
        <v>24</v>
      </c>
      <c r="C272" s="31">
        <v>46048</v>
      </c>
      <c r="D272" s="26" t="s">
        <v>11</v>
      </c>
      <c r="E272" s="33" t="s">
        <v>18</v>
      </c>
      <c r="F272" s="28" t="s">
        <v>439</v>
      </c>
      <c r="G272" s="28" t="s">
        <v>8</v>
      </c>
      <c r="H272" s="24">
        <v>6</v>
      </c>
      <c r="I272" s="24">
        <v>0</v>
      </c>
      <c r="J272" s="28"/>
      <c r="K272" s="28" t="s">
        <v>934</v>
      </c>
      <c r="L272" s="28" t="s">
        <v>934</v>
      </c>
      <c r="M272" s="28"/>
      <c r="N272" s="28" t="s">
        <v>934</v>
      </c>
      <c r="O272" s="22"/>
      <c r="P272" s="29" t="s">
        <v>171</v>
      </c>
    </row>
    <row r="273" spans="1:16" ht="21" x14ac:dyDescent="0.35">
      <c r="A273" s="28">
        <f>WEEKNUM(Table1[[#This Row],[Date]])</f>
        <v>5</v>
      </c>
      <c r="B273" s="35" t="s">
        <v>24</v>
      </c>
      <c r="C273" s="31">
        <v>46048</v>
      </c>
      <c r="D273" s="26" t="s">
        <v>11</v>
      </c>
      <c r="E273" s="33" t="s">
        <v>18</v>
      </c>
      <c r="F273" s="28" t="s">
        <v>500</v>
      </c>
      <c r="G273" s="28" t="s">
        <v>8</v>
      </c>
      <c r="H273" s="24">
        <v>1</v>
      </c>
      <c r="I273" s="24">
        <v>1</v>
      </c>
      <c r="J273" s="28" t="s">
        <v>229</v>
      </c>
      <c r="K273" s="28" t="s">
        <v>61</v>
      </c>
      <c r="L273" s="28" t="s">
        <v>466</v>
      </c>
      <c r="M273" s="28">
        <v>251697</v>
      </c>
      <c r="N273" s="22" t="s">
        <v>164</v>
      </c>
      <c r="O273" s="22" t="s">
        <v>501</v>
      </c>
      <c r="P273" s="50" t="s">
        <v>16</v>
      </c>
    </row>
    <row r="274" spans="1:16" ht="21" x14ac:dyDescent="0.35">
      <c r="A274" s="28">
        <f>WEEKNUM(Table1[[#This Row],[Date]])</f>
        <v>5</v>
      </c>
      <c r="B274" s="35" t="s">
        <v>24</v>
      </c>
      <c r="C274" s="31">
        <v>46048</v>
      </c>
      <c r="D274" s="26" t="s">
        <v>11</v>
      </c>
      <c r="E274" s="33" t="s">
        <v>25</v>
      </c>
      <c r="F274" s="28" t="s">
        <v>502</v>
      </c>
      <c r="G274" s="28" t="s">
        <v>27</v>
      </c>
      <c r="H274" s="24">
        <v>4</v>
      </c>
      <c r="I274" s="24">
        <v>1</v>
      </c>
      <c r="J274" s="28" t="s">
        <v>12</v>
      </c>
      <c r="K274" s="28" t="s">
        <v>349</v>
      </c>
      <c r="L274" s="28" t="s">
        <v>13</v>
      </c>
      <c r="M274" s="28">
        <v>251698</v>
      </c>
      <c r="N274" s="22" t="s">
        <v>166</v>
      </c>
      <c r="O274" s="22" t="s">
        <v>315</v>
      </c>
      <c r="P274" s="50" t="s">
        <v>11</v>
      </c>
    </row>
    <row r="275" spans="1:16" ht="21" x14ac:dyDescent="0.35">
      <c r="A275" s="28">
        <f>WEEKNUM(Table1[[#This Row],[Date]])</f>
        <v>5</v>
      </c>
      <c r="B275" s="35" t="s">
        <v>24</v>
      </c>
      <c r="C275" s="31">
        <v>46048</v>
      </c>
      <c r="D275" s="26" t="s">
        <v>11</v>
      </c>
      <c r="E275" s="33" t="s">
        <v>25</v>
      </c>
      <c r="F275" s="28" t="s">
        <v>502</v>
      </c>
      <c r="G275" s="28" t="s">
        <v>27</v>
      </c>
      <c r="H275" s="24"/>
      <c r="I275" s="24">
        <v>1</v>
      </c>
      <c r="J275" s="28" t="s">
        <v>9</v>
      </c>
      <c r="K275" s="28" t="s">
        <v>349</v>
      </c>
      <c r="L275" s="28" t="s">
        <v>45</v>
      </c>
      <c r="M275" s="28">
        <v>251699</v>
      </c>
      <c r="N275" s="22" t="s">
        <v>166</v>
      </c>
      <c r="O275" s="22" t="s">
        <v>503</v>
      </c>
      <c r="P275" s="50" t="s">
        <v>11</v>
      </c>
    </row>
    <row r="276" spans="1:16" ht="21" x14ac:dyDescent="0.3">
      <c r="A276" s="28">
        <f>WEEKNUM(Table1[[#This Row],[Date]])</f>
        <v>5</v>
      </c>
      <c r="B276" s="35" t="s">
        <v>24</v>
      </c>
      <c r="C276" s="31">
        <v>46048</v>
      </c>
      <c r="D276" s="26" t="s">
        <v>11</v>
      </c>
      <c r="E276" s="33" t="s">
        <v>25</v>
      </c>
      <c r="F276" s="28" t="s">
        <v>504</v>
      </c>
      <c r="G276" s="28" t="s">
        <v>27</v>
      </c>
      <c r="H276" s="24">
        <v>5</v>
      </c>
      <c r="I276" s="24">
        <v>0</v>
      </c>
      <c r="J276" s="28"/>
      <c r="K276" s="28" t="s">
        <v>934</v>
      </c>
      <c r="L276" s="28" t="s">
        <v>934</v>
      </c>
      <c r="M276" s="28"/>
      <c r="N276" s="28" t="s">
        <v>934</v>
      </c>
      <c r="O276" s="22"/>
      <c r="P276" s="29" t="s">
        <v>171</v>
      </c>
    </row>
    <row r="277" spans="1:16" ht="21" x14ac:dyDescent="0.35">
      <c r="A277" s="28">
        <f>WEEKNUM(Table1[[#This Row],[Date]])</f>
        <v>5</v>
      </c>
      <c r="B277" s="35" t="s">
        <v>24</v>
      </c>
      <c r="C277" s="31">
        <v>46048</v>
      </c>
      <c r="D277" s="26" t="s">
        <v>11</v>
      </c>
      <c r="E277" s="33" t="s">
        <v>25</v>
      </c>
      <c r="F277" s="28" t="s">
        <v>505</v>
      </c>
      <c r="G277" s="28" t="s">
        <v>27</v>
      </c>
      <c r="H277" s="24">
        <v>4</v>
      </c>
      <c r="I277" s="24">
        <v>1</v>
      </c>
      <c r="J277" s="28" t="s">
        <v>12</v>
      </c>
      <c r="K277" s="28" t="s">
        <v>348</v>
      </c>
      <c r="L277" s="28" t="s">
        <v>19</v>
      </c>
      <c r="M277" s="28">
        <v>251700</v>
      </c>
      <c r="N277" s="28" t="s">
        <v>166</v>
      </c>
      <c r="O277" s="22"/>
      <c r="P277" s="50" t="s">
        <v>11</v>
      </c>
    </row>
    <row r="278" spans="1:16" ht="21" x14ac:dyDescent="0.35">
      <c r="A278" s="28">
        <f>WEEKNUM(Table1[[#This Row],[Date]])</f>
        <v>5</v>
      </c>
      <c r="B278" s="35" t="s">
        <v>24</v>
      </c>
      <c r="C278" s="31">
        <v>46048</v>
      </c>
      <c r="D278" s="26" t="s">
        <v>11</v>
      </c>
      <c r="E278" s="33" t="s">
        <v>25</v>
      </c>
      <c r="F278" s="28" t="s">
        <v>506</v>
      </c>
      <c r="G278" s="28" t="s">
        <v>27</v>
      </c>
      <c r="H278" s="24">
        <v>12</v>
      </c>
      <c r="I278" s="24">
        <v>1</v>
      </c>
      <c r="J278" s="28" t="s">
        <v>9</v>
      </c>
      <c r="K278" s="28" t="s">
        <v>740</v>
      </c>
      <c r="L278" s="28" t="s">
        <v>224</v>
      </c>
      <c r="M278" s="28">
        <v>251701</v>
      </c>
      <c r="N278" s="28" t="s">
        <v>166</v>
      </c>
      <c r="O278" s="22"/>
      <c r="P278" s="50" t="s">
        <v>11</v>
      </c>
    </row>
    <row r="279" spans="1:16" ht="21" x14ac:dyDescent="0.35">
      <c r="A279" s="28">
        <f>WEEKNUM(Table1[[#This Row],[Date]])</f>
        <v>5</v>
      </c>
      <c r="B279" s="35" t="s">
        <v>24</v>
      </c>
      <c r="C279" s="31">
        <v>46048</v>
      </c>
      <c r="D279" s="26" t="s">
        <v>11</v>
      </c>
      <c r="E279" s="33" t="s">
        <v>25</v>
      </c>
      <c r="F279" s="28" t="s">
        <v>507</v>
      </c>
      <c r="G279" s="28" t="s">
        <v>8</v>
      </c>
      <c r="H279" s="24">
        <v>5</v>
      </c>
      <c r="I279" s="24">
        <v>1</v>
      </c>
      <c r="J279" s="28" t="s">
        <v>12</v>
      </c>
      <c r="K279" s="28" t="s">
        <v>348</v>
      </c>
      <c r="L279" s="28" t="s">
        <v>19</v>
      </c>
      <c r="M279" s="28">
        <v>251702</v>
      </c>
      <c r="N279" s="28" t="s">
        <v>166</v>
      </c>
      <c r="O279" s="22"/>
      <c r="P279" s="50" t="s">
        <v>11</v>
      </c>
    </row>
    <row r="280" spans="1:16" ht="21" x14ac:dyDescent="0.35">
      <c r="A280" s="28">
        <f>WEEKNUM(Table1[[#This Row],[Date]])</f>
        <v>5</v>
      </c>
      <c r="B280" s="35" t="s">
        <v>24</v>
      </c>
      <c r="C280" s="31">
        <v>46048</v>
      </c>
      <c r="D280" s="26" t="s">
        <v>11</v>
      </c>
      <c r="E280" s="33" t="s">
        <v>25</v>
      </c>
      <c r="F280" s="28" t="s">
        <v>508</v>
      </c>
      <c r="G280" s="28" t="s">
        <v>27</v>
      </c>
      <c r="H280" s="24">
        <v>24</v>
      </c>
      <c r="I280" s="24">
        <v>1</v>
      </c>
      <c r="J280" s="28" t="s">
        <v>9</v>
      </c>
      <c r="K280" s="28" t="s">
        <v>740</v>
      </c>
      <c r="L280" s="28" t="s">
        <v>224</v>
      </c>
      <c r="M280" s="28">
        <v>251703</v>
      </c>
      <c r="N280" s="22" t="s">
        <v>166</v>
      </c>
      <c r="O280" s="22" t="s">
        <v>509</v>
      </c>
      <c r="P280" s="50" t="s">
        <v>11</v>
      </c>
    </row>
    <row r="281" spans="1:16" ht="21" x14ac:dyDescent="0.35">
      <c r="A281" s="28">
        <f>WEEKNUM(Table1[[#This Row],[Date]])</f>
        <v>5</v>
      </c>
      <c r="B281" s="35" t="s">
        <v>24</v>
      </c>
      <c r="C281" s="31">
        <v>46048</v>
      </c>
      <c r="D281" s="26" t="s">
        <v>11</v>
      </c>
      <c r="E281" s="33" t="s">
        <v>25</v>
      </c>
      <c r="F281" s="28" t="s">
        <v>510</v>
      </c>
      <c r="G281" s="28" t="s">
        <v>8</v>
      </c>
      <c r="H281" s="24">
        <v>5</v>
      </c>
      <c r="I281" s="50">
        <v>0</v>
      </c>
      <c r="J281" s="50"/>
      <c r="K281" s="28" t="s">
        <v>934</v>
      </c>
      <c r="L281" s="28" t="s">
        <v>934</v>
      </c>
      <c r="M281" s="28"/>
      <c r="N281" s="28" t="s">
        <v>934</v>
      </c>
      <c r="O281" s="22"/>
      <c r="P281" s="29" t="s">
        <v>171</v>
      </c>
    </row>
    <row r="282" spans="1:16" ht="21" x14ac:dyDescent="0.3">
      <c r="A282" s="28">
        <f>WEEKNUM(Table1[[#This Row],[Date]])</f>
        <v>5</v>
      </c>
      <c r="B282" s="35" t="s">
        <v>24</v>
      </c>
      <c r="C282" s="31">
        <v>46048</v>
      </c>
      <c r="D282" s="27" t="s">
        <v>332</v>
      </c>
      <c r="E282" s="33" t="s">
        <v>38</v>
      </c>
      <c r="F282" s="28" t="s">
        <v>487</v>
      </c>
      <c r="G282" s="28" t="s">
        <v>8</v>
      </c>
      <c r="H282" s="24"/>
      <c r="I282" s="24">
        <v>1</v>
      </c>
      <c r="J282" s="28"/>
      <c r="K282" s="28" t="s">
        <v>353</v>
      </c>
      <c r="L282" s="28" t="s">
        <v>13</v>
      </c>
      <c r="M282" s="28">
        <v>202302640</v>
      </c>
      <c r="N282" s="22" t="s">
        <v>166</v>
      </c>
      <c r="O282" s="22" t="s">
        <v>488</v>
      </c>
      <c r="P282" s="22" t="s">
        <v>14</v>
      </c>
    </row>
    <row r="283" spans="1:16" ht="21" x14ac:dyDescent="0.3">
      <c r="A283" s="28">
        <f>WEEKNUM(Table1[[#This Row],[Date]])</f>
        <v>5</v>
      </c>
      <c r="B283" s="35" t="s">
        <v>24</v>
      </c>
      <c r="C283" s="31">
        <v>46048</v>
      </c>
      <c r="D283" s="71" t="s">
        <v>332</v>
      </c>
      <c r="E283" s="72" t="s">
        <v>38</v>
      </c>
      <c r="F283" s="73" t="s">
        <v>487</v>
      </c>
      <c r="G283" s="73" t="s">
        <v>8</v>
      </c>
      <c r="H283" s="74"/>
      <c r="I283" s="24">
        <v>1</v>
      </c>
      <c r="J283" s="73" t="s">
        <v>17</v>
      </c>
      <c r="K283" s="28" t="s">
        <v>353</v>
      </c>
      <c r="L283" s="73" t="s">
        <v>47</v>
      </c>
      <c r="M283" s="73">
        <v>202302641</v>
      </c>
      <c r="N283" s="25" t="s">
        <v>164</v>
      </c>
      <c r="O283" s="25" t="s">
        <v>489</v>
      </c>
      <c r="P283" s="25" t="s">
        <v>14</v>
      </c>
    </row>
    <row r="284" spans="1:16" ht="21" x14ac:dyDescent="0.3">
      <c r="A284" s="28">
        <f>WEEKNUM(Table1[[#This Row],[Date]])</f>
        <v>5</v>
      </c>
      <c r="B284" s="35" t="s">
        <v>24</v>
      </c>
      <c r="C284" s="31">
        <v>46049</v>
      </c>
      <c r="D284" s="27" t="s">
        <v>332</v>
      </c>
      <c r="E284" s="33" t="s">
        <v>38</v>
      </c>
      <c r="F284" s="28" t="s">
        <v>511</v>
      </c>
      <c r="G284" s="28" t="s">
        <v>27</v>
      </c>
      <c r="H284" s="24"/>
      <c r="I284" s="24">
        <v>1</v>
      </c>
      <c r="J284" s="28" t="s">
        <v>17</v>
      </c>
      <c r="K284" s="28" t="s">
        <v>349</v>
      </c>
      <c r="L284" s="28" t="s">
        <v>47</v>
      </c>
      <c r="M284" s="28">
        <v>202302642</v>
      </c>
      <c r="N284" s="22" t="s">
        <v>164</v>
      </c>
      <c r="O284" s="22" t="s">
        <v>489</v>
      </c>
      <c r="P284" s="22" t="s">
        <v>11</v>
      </c>
    </row>
    <row r="285" spans="1:16" ht="21" x14ac:dyDescent="0.3">
      <c r="A285" s="28">
        <f>WEEKNUM(Table1[[#This Row],[Date]])</f>
        <v>5</v>
      </c>
      <c r="B285" s="35" t="s">
        <v>24</v>
      </c>
      <c r="C285" s="31">
        <v>46049</v>
      </c>
      <c r="D285" s="71" t="s">
        <v>332</v>
      </c>
      <c r="E285" s="72" t="s">
        <v>38</v>
      </c>
      <c r="F285" s="73" t="s">
        <v>512</v>
      </c>
      <c r="G285" s="73" t="s">
        <v>8</v>
      </c>
      <c r="H285" s="74"/>
      <c r="I285" s="24">
        <v>1</v>
      </c>
      <c r="J285" s="73" t="s">
        <v>539</v>
      </c>
      <c r="K285" s="28" t="s">
        <v>353</v>
      </c>
      <c r="L285" s="28" t="s">
        <v>344</v>
      </c>
      <c r="M285" s="28">
        <v>202302643</v>
      </c>
      <c r="N285" s="22" t="s">
        <v>164</v>
      </c>
      <c r="O285" s="22" t="s">
        <v>513</v>
      </c>
      <c r="P285" s="25" t="s">
        <v>14</v>
      </c>
    </row>
    <row r="286" spans="1:16" ht="21" x14ac:dyDescent="0.3">
      <c r="A286" s="28">
        <f>WEEKNUM(Table1[[#This Row],[Date]])</f>
        <v>5</v>
      </c>
      <c r="B286" s="35" t="s">
        <v>24</v>
      </c>
      <c r="C286" s="31">
        <v>46049</v>
      </c>
      <c r="D286" s="27" t="s">
        <v>332</v>
      </c>
      <c r="E286" s="33" t="s">
        <v>38</v>
      </c>
      <c r="F286" s="28" t="s">
        <v>514</v>
      </c>
      <c r="G286" s="28" t="s">
        <v>27</v>
      </c>
      <c r="H286" s="24"/>
      <c r="I286" s="24">
        <v>1</v>
      </c>
      <c r="J286" s="28" t="s">
        <v>197</v>
      </c>
      <c r="K286" s="28" t="s">
        <v>349</v>
      </c>
      <c r="L286" s="28" t="s">
        <v>21</v>
      </c>
      <c r="M286" s="28">
        <v>202302643</v>
      </c>
      <c r="N286" s="22" t="s">
        <v>166</v>
      </c>
      <c r="O286" s="22" t="s">
        <v>515</v>
      </c>
      <c r="P286" s="22" t="s">
        <v>11</v>
      </c>
    </row>
    <row r="287" spans="1:16" ht="21" x14ac:dyDescent="0.3">
      <c r="A287" s="28">
        <f>WEEKNUM(Table1[[#This Row],[Date]])</f>
        <v>5</v>
      </c>
      <c r="B287" s="35" t="s">
        <v>24</v>
      </c>
      <c r="C287" s="31">
        <v>46049</v>
      </c>
      <c r="D287" s="71" t="s">
        <v>332</v>
      </c>
      <c r="E287" s="72" t="s">
        <v>38</v>
      </c>
      <c r="F287" s="73" t="s">
        <v>516</v>
      </c>
      <c r="G287" s="73" t="s">
        <v>8</v>
      </c>
      <c r="H287" s="74"/>
      <c r="I287" s="24">
        <v>1</v>
      </c>
      <c r="J287" s="73" t="s">
        <v>465</v>
      </c>
      <c r="K287" s="28" t="s">
        <v>353</v>
      </c>
      <c r="L287" s="28" t="s">
        <v>334</v>
      </c>
      <c r="M287" s="28">
        <v>202302644</v>
      </c>
      <c r="N287" s="22" t="s">
        <v>166</v>
      </c>
      <c r="O287" s="22" t="s">
        <v>517</v>
      </c>
      <c r="P287" s="25" t="s">
        <v>14</v>
      </c>
    </row>
    <row r="288" spans="1:16" ht="21" x14ac:dyDescent="0.3">
      <c r="A288" s="28">
        <f>WEEKNUM(Table1[[#This Row],[Date]])</f>
        <v>5</v>
      </c>
      <c r="B288" s="35" t="s">
        <v>24</v>
      </c>
      <c r="C288" s="31">
        <v>46049</v>
      </c>
      <c r="D288" s="27" t="s">
        <v>332</v>
      </c>
      <c r="E288" s="33" t="s">
        <v>38</v>
      </c>
      <c r="F288" s="28" t="s">
        <v>518</v>
      </c>
      <c r="G288" s="28" t="s">
        <v>27</v>
      </c>
      <c r="H288" s="24"/>
      <c r="I288" s="24">
        <v>1</v>
      </c>
      <c r="J288" s="28"/>
      <c r="K288" s="28" t="s">
        <v>351</v>
      </c>
      <c r="L288" s="28" t="s">
        <v>55</v>
      </c>
      <c r="M288" s="28">
        <v>202302645</v>
      </c>
      <c r="N288" s="22" t="s">
        <v>165</v>
      </c>
      <c r="O288" s="22" t="s">
        <v>519</v>
      </c>
      <c r="P288" s="22" t="s">
        <v>46</v>
      </c>
    </row>
    <row r="289" spans="1:16" ht="21" x14ac:dyDescent="0.35">
      <c r="A289" s="28">
        <f>WEEKNUM(Table1[[#This Row],[Date]])</f>
        <v>5</v>
      </c>
      <c r="B289" s="35" t="s">
        <v>24</v>
      </c>
      <c r="C289" s="31">
        <v>46049</v>
      </c>
      <c r="D289" s="26" t="s">
        <v>11</v>
      </c>
      <c r="E289" s="33" t="s">
        <v>18</v>
      </c>
      <c r="F289" s="28" t="s">
        <v>520</v>
      </c>
      <c r="G289" s="28" t="s">
        <v>8</v>
      </c>
      <c r="H289" s="24">
        <v>3</v>
      </c>
      <c r="I289" s="24">
        <v>1</v>
      </c>
      <c r="J289" s="28" t="s">
        <v>12</v>
      </c>
      <c r="K289" s="28" t="s">
        <v>351</v>
      </c>
      <c r="L289" s="28" t="s">
        <v>159</v>
      </c>
      <c r="M289" s="28">
        <v>251704</v>
      </c>
      <c r="N289" s="22" t="s">
        <v>169</v>
      </c>
      <c r="O289" s="22" t="s">
        <v>521</v>
      </c>
      <c r="P289" s="51" t="s">
        <v>11</v>
      </c>
    </row>
    <row r="290" spans="1:16" ht="21" x14ac:dyDescent="0.35">
      <c r="A290" s="28">
        <f>WEEKNUM(Table1[[#This Row],[Date]])</f>
        <v>5</v>
      </c>
      <c r="B290" s="35" t="s">
        <v>24</v>
      </c>
      <c r="C290" s="31">
        <v>46049</v>
      </c>
      <c r="D290" s="26" t="s">
        <v>11</v>
      </c>
      <c r="E290" s="33" t="s">
        <v>18</v>
      </c>
      <c r="F290" s="28" t="s">
        <v>522</v>
      </c>
      <c r="G290" s="28" t="s">
        <v>27</v>
      </c>
      <c r="H290" s="24">
        <v>6</v>
      </c>
      <c r="I290" s="24">
        <v>1</v>
      </c>
      <c r="J290" s="28" t="s">
        <v>9</v>
      </c>
      <c r="K290" s="28" t="s">
        <v>351</v>
      </c>
      <c r="L290" s="28" t="s">
        <v>159</v>
      </c>
      <c r="M290" s="28">
        <v>251705</v>
      </c>
      <c r="N290" s="22" t="s">
        <v>169</v>
      </c>
      <c r="O290" s="22" t="s">
        <v>521</v>
      </c>
      <c r="P290" s="50" t="s">
        <v>11</v>
      </c>
    </row>
    <row r="291" spans="1:16" ht="21" x14ac:dyDescent="0.3">
      <c r="A291" s="28">
        <f>WEEKNUM(Table1[[#This Row],[Date]])</f>
        <v>5</v>
      </c>
      <c r="B291" s="35" t="s">
        <v>24</v>
      </c>
      <c r="C291" s="31">
        <v>46049</v>
      </c>
      <c r="D291" s="26" t="s">
        <v>11</v>
      </c>
      <c r="E291" s="33" t="s">
        <v>18</v>
      </c>
      <c r="F291" s="28" t="s">
        <v>523</v>
      </c>
      <c r="G291" s="28" t="s">
        <v>27</v>
      </c>
      <c r="H291" s="24">
        <v>6</v>
      </c>
      <c r="I291" s="24">
        <v>0</v>
      </c>
      <c r="J291" s="28"/>
      <c r="K291" s="28" t="s">
        <v>934</v>
      </c>
      <c r="L291" s="28" t="s">
        <v>934</v>
      </c>
      <c r="M291" s="28"/>
      <c r="N291" s="28" t="s">
        <v>934</v>
      </c>
      <c r="O291" s="22"/>
      <c r="P291" s="29" t="s">
        <v>171</v>
      </c>
    </row>
    <row r="292" spans="1:16" ht="21" x14ac:dyDescent="0.3">
      <c r="A292" s="28">
        <f>WEEKNUM(Table1[[#This Row],[Date]])</f>
        <v>5</v>
      </c>
      <c r="B292" s="35" t="s">
        <v>24</v>
      </c>
      <c r="C292" s="31">
        <v>46049</v>
      </c>
      <c r="D292" s="26" t="s">
        <v>11</v>
      </c>
      <c r="E292" s="33" t="s">
        <v>18</v>
      </c>
      <c r="F292" s="28" t="s">
        <v>524</v>
      </c>
      <c r="G292" s="28" t="s">
        <v>27</v>
      </c>
      <c r="H292" s="24">
        <v>26</v>
      </c>
      <c r="I292" s="24">
        <v>0</v>
      </c>
      <c r="J292" s="28"/>
      <c r="K292" s="28" t="s">
        <v>934</v>
      </c>
      <c r="L292" s="28" t="s">
        <v>934</v>
      </c>
      <c r="M292" s="28"/>
      <c r="N292" s="28" t="s">
        <v>934</v>
      </c>
      <c r="O292" s="22"/>
      <c r="P292" s="29" t="s">
        <v>171</v>
      </c>
    </row>
    <row r="293" spans="1:16" ht="21" x14ac:dyDescent="0.3">
      <c r="A293" s="28">
        <f>WEEKNUM(Table1[[#This Row],[Date]])</f>
        <v>5</v>
      </c>
      <c r="B293" s="35" t="s">
        <v>24</v>
      </c>
      <c r="C293" s="31">
        <v>46049</v>
      </c>
      <c r="D293" s="26" t="s">
        <v>11</v>
      </c>
      <c r="E293" s="33" t="s">
        <v>18</v>
      </c>
      <c r="F293" s="28" t="s">
        <v>525</v>
      </c>
      <c r="G293" s="28" t="s">
        <v>27</v>
      </c>
      <c r="H293" s="24">
        <v>36</v>
      </c>
      <c r="I293" s="24">
        <v>0</v>
      </c>
      <c r="J293" s="28"/>
      <c r="K293" s="28" t="s">
        <v>934</v>
      </c>
      <c r="L293" s="28" t="s">
        <v>934</v>
      </c>
      <c r="M293" s="28"/>
      <c r="N293" s="28" t="s">
        <v>934</v>
      </c>
      <c r="O293" s="22"/>
      <c r="P293" s="29" t="s">
        <v>171</v>
      </c>
    </row>
    <row r="294" spans="1:16" ht="21" x14ac:dyDescent="0.35">
      <c r="A294" s="28">
        <f>WEEKNUM(Table1[[#This Row],[Date]])</f>
        <v>5</v>
      </c>
      <c r="B294" s="35" t="s">
        <v>24</v>
      </c>
      <c r="C294" s="31">
        <v>46049</v>
      </c>
      <c r="D294" s="26" t="s">
        <v>11</v>
      </c>
      <c r="E294" s="33" t="s">
        <v>18</v>
      </c>
      <c r="F294" s="28" t="s">
        <v>500</v>
      </c>
      <c r="G294" s="28" t="s">
        <v>8</v>
      </c>
      <c r="H294" s="24">
        <v>7</v>
      </c>
      <c r="I294" s="24">
        <v>1</v>
      </c>
      <c r="J294" s="28" t="s">
        <v>9</v>
      </c>
      <c r="K294" s="28" t="s">
        <v>349</v>
      </c>
      <c r="L294" s="28" t="s">
        <v>13</v>
      </c>
      <c r="M294" s="28">
        <v>251706</v>
      </c>
      <c r="N294" s="22" t="s">
        <v>166</v>
      </c>
      <c r="O294" s="22" t="s">
        <v>526</v>
      </c>
      <c r="P294" s="50" t="s">
        <v>11</v>
      </c>
    </row>
    <row r="295" spans="1:16" ht="21" x14ac:dyDescent="0.3">
      <c r="A295" s="28">
        <f>WEEKNUM(Table1[[#This Row],[Date]])</f>
        <v>5</v>
      </c>
      <c r="B295" s="35" t="s">
        <v>24</v>
      </c>
      <c r="C295" s="31">
        <v>46049</v>
      </c>
      <c r="D295" s="26" t="s">
        <v>11</v>
      </c>
      <c r="E295" s="33" t="s">
        <v>18</v>
      </c>
      <c r="F295" s="28" t="s">
        <v>527</v>
      </c>
      <c r="G295" s="28" t="s">
        <v>27</v>
      </c>
      <c r="H295" s="24">
        <v>10</v>
      </c>
      <c r="I295" s="24">
        <v>0</v>
      </c>
      <c r="J295" s="28"/>
      <c r="K295" s="28" t="s">
        <v>934</v>
      </c>
      <c r="L295" s="28" t="s">
        <v>934</v>
      </c>
      <c r="M295" s="28"/>
      <c r="N295" s="28" t="s">
        <v>934</v>
      </c>
      <c r="O295" s="22"/>
      <c r="P295" s="29" t="s">
        <v>171</v>
      </c>
    </row>
    <row r="296" spans="1:16" ht="21" x14ac:dyDescent="0.35">
      <c r="A296" s="28">
        <f>WEEKNUM(Table1[[#This Row],[Date]])</f>
        <v>5</v>
      </c>
      <c r="B296" s="35" t="s">
        <v>24</v>
      </c>
      <c r="C296" s="31">
        <v>46049</v>
      </c>
      <c r="D296" s="26" t="s">
        <v>11</v>
      </c>
      <c r="E296" s="33" t="s">
        <v>25</v>
      </c>
      <c r="F296" s="28" t="s">
        <v>528</v>
      </c>
      <c r="G296" s="28" t="s">
        <v>27</v>
      </c>
      <c r="H296" s="24">
        <v>4</v>
      </c>
      <c r="I296" s="24">
        <v>1</v>
      </c>
      <c r="J296" s="28" t="s">
        <v>529</v>
      </c>
      <c r="K296" s="28" t="s">
        <v>349</v>
      </c>
      <c r="L296" s="28" t="s">
        <v>118</v>
      </c>
      <c r="M296" s="28">
        <v>251707</v>
      </c>
      <c r="N296" s="22" t="s">
        <v>164</v>
      </c>
      <c r="O296" s="22" t="s">
        <v>530</v>
      </c>
      <c r="P296" s="50" t="s">
        <v>11</v>
      </c>
    </row>
    <row r="297" spans="1:16" ht="21" x14ac:dyDescent="0.35">
      <c r="A297" s="28">
        <f>WEEKNUM(Table1[[#This Row],[Date]])</f>
        <v>5</v>
      </c>
      <c r="B297" s="35" t="s">
        <v>24</v>
      </c>
      <c r="C297" s="31">
        <v>46049</v>
      </c>
      <c r="D297" s="26" t="s">
        <v>11</v>
      </c>
      <c r="E297" s="33" t="s">
        <v>25</v>
      </c>
      <c r="F297" s="28" t="s">
        <v>528</v>
      </c>
      <c r="G297" s="28" t="s">
        <v>27</v>
      </c>
      <c r="H297" s="24"/>
      <c r="I297" s="24">
        <v>1</v>
      </c>
      <c r="J297" s="28" t="s">
        <v>529</v>
      </c>
      <c r="K297" s="28" t="s">
        <v>349</v>
      </c>
      <c r="L297" s="28" t="s">
        <v>19</v>
      </c>
      <c r="M297" s="28">
        <v>251708</v>
      </c>
      <c r="N297" s="22" t="s">
        <v>166</v>
      </c>
      <c r="O297" s="22" t="s">
        <v>531</v>
      </c>
      <c r="P297" s="50" t="s">
        <v>11</v>
      </c>
    </row>
    <row r="298" spans="1:16" ht="21" x14ac:dyDescent="0.35">
      <c r="A298" s="28">
        <f>WEEKNUM(Table1[[#This Row],[Date]])</f>
        <v>5</v>
      </c>
      <c r="B298" s="35" t="s">
        <v>24</v>
      </c>
      <c r="C298" s="31">
        <v>46049</v>
      </c>
      <c r="D298" s="26" t="s">
        <v>11</v>
      </c>
      <c r="E298" s="33" t="s">
        <v>25</v>
      </c>
      <c r="F298" s="28" t="s">
        <v>532</v>
      </c>
      <c r="G298" s="28" t="s">
        <v>27</v>
      </c>
      <c r="H298" s="24">
        <v>6</v>
      </c>
      <c r="I298" s="24">
        <v>1</v>
      </c>
      <c r="J298" s="28" t="s">
        <v>17</v>
      </c>
      <c r="K298" s="28" t="s">
        <v>349</v>
      </c>
      <c r="L298" s="28" t="s">
        <v>51</v>
      </c>
      <c r="M298" s="28">
        <v>251709</v>
      </c>
      <c r="N298" s="22" t="s">
        <v>164</v>
      </c>
      <c r="O298" s="22"/>
      <c r="P298" s="50" t="s">
        <v>11</v>
      </c>
    </row>
    <row r="299" spans="1:16" ht="21" x14ac:dyDescent="0.35">
      <c r="A299" s="28">
        <f>WEEKNUM(Table1[[#This Row],[Date]])</f>
        <v>5</v>
      </c>
      <c r="B299" s="35" t="s">
        <v>24</v>
      </c>
      <c r="C299" s="31">
        <v>46049</v>
      </c>
      <c r="D299" s="26" t="s">
        <v>11</v>
      </c>
      <c r="E299" s="33" t="s">
        <v>25</v>
      </c>
      <c r="F299" s="28" t="s">
        <v>532</v>
      </c>
      <c r="G299" s="28" t="s">
        <v>27</v>
      </c>
      <c r="H299" s="24"/>
      <c r="I299" s="24">
        <v>1</v>
      </c>
      <c r="J299" s="28" t="s">
        <v>12</v>
      </c>
      <c r="K299" s="28" t="s">
        <v>349</v>
      </c>
      <c r="L299" s="28" t="s">
        <v>118</v>
      </c>
      <c r="M299" s="28">
        <v>251710</v>
      </c>
      <c r="N299" s="22" t="s">
        <v>164</v>
      </c>
      <c r="O299" s="22" t="s">
        <v>533</v>
      </c>
      <c r="P299" s="50" t="s">
        <v>11</v>
      </c>
    </row>
    <row r="300" spans="1:16" ht="21" x14ac:dyDescent="0.35">
      <c r="A300" s="28">
        <f>WEEKNUM(Table1[[#This Row],[Date]])</f>
        <v>5</v>
      </c>
      <c r="B300" s="35" t="s">
        <v>24</v>
      </c>
      <c r="C300" s="31">
        <v>46049</v>
      </c>
      <c r="D300" s="26" t="s">
        <v>11</v>
      </c>
      <c r="E300" s="33" t="s">
        <v>25</v>
      </c>
      <c r="F300" s="28" t="s">
        <v>534</v>
      </c>
      <c r="G300" s="28" t="s">
        <v>27</v>
      </c>
      <c r="H300" s="24">
        <v>42</v>
      </c>
      <c r="I300" s="24">
        <v>1</v>
      </c>
      <c r="J300" s="28" t="s">
        <v>9</v>
      </c>
      <c r="K300" s="28" t="s">
        <v>349</v>
      </c>
      <c r="L300" s="28" t="s">
        <v>13</v>
      </c>
      <c r="M300" s="28">
        <v>251711</v>
      </c>
      <c r="N300" s="22" t="s">
        <v>166</v>
      </c>
      <c r="O300" s="22" t="s">
        <v>535</v>
      </c>
      <c r="P300" s="50" t="s">
        <v>11</v>
      </c>
    </row>
    <row r="301" spans="1:16" ht="21" x14ac:dyDescent="0.35">
      <c r="A301" s="28">
        <f>WEEKNUM(Table1[[#This Row],[Date]])</f>
        <v>5</v>
      </c>
      <c r="B301" s="35" t="s">
        <v>24</v>
      </c>
      <c r="C301" s="31">
        <v>46049</v>
      </c>
      <c r="D301" s="26" t="s">
        <v>11</v>
      </c>
      <c r="E301" s="33" t="s">
        <v>25</v>
      </c>
      <c r="F301" s="28" t="s">
        <v>536</v>
      </c>
      <c r="G301" s="28" t="s">
        <v>27</v>
      </c>
      <c r="H301" s="24">
        <v>6</v>
      </c>
      <c r="I301" s="24">
        <v>1</v>
      </c>
      <c r="J301" s="28" t="s">
        <v>17</v>
      </c>
      <c r="K301" s="28" t="s">
        <v>349</v>
      </c>
      <c r="L301" s="28" t="s">
        <v>10</v>
      </c>
      <c r="M301" s="28">
        <v>251712</v>
      </c>
      <c r="N301" s="22" t="s">
        <v>166</v>
      </c>
      <c r="O301" s="22" t="s">
        <v>537</v>
      </c>
      <c r="P301" s="50" t="s">
        <v>11</v>
      </c>
    </row>
    <row r="302" spans="1:16" ht="21" x14ac:dyDescent="0.3">
      <c r="A302" s="28">
        <f>WEEKNUM(Table1[[#This Row],[Date]])</f>
        <v>5</v>
      </c>
      <c r="B302" s="35" t="s">
        <v>24</v>
      </c>
      <c r="C302" s="31">
        <v>46049</v>
      </c>
      <c r="D302" s="26" t="s">
        <v>11</v>
      </c>
      <c r="E302" s="33" t="s">
        <v>25</v>
      </c>
      <c r="F302" s="28" t="s">
        <v>538</v>
      </c>
      <c r="G302" s="28" t="s">
        <v>27</v>
      </c>
      <c r="H302" s="24">
        <v>10</v>
      </c>
      <c r="I302" s="24">
        <v>0</v>
      </c>
      <c r="J302" s="28"/>
      <c r="K302" s="28" t="s">
        <v>934</v>
      </c>
      <c r="L302" s="28" t="s">
        <v>934</v>
      </c>
      <c r="M302" s="28"/>
      <c r="N302" s="28" t="s">
        <v>934</v>
      </c>
      <c r="O302" s="22"/>
      <c r="P302" s="29" t="s">
        <v>171</v>
      </c>
    </row>
    <row r="303" spans="1:16" ht="21" x14ac:dyDescent="0.3">
      <c r="A303" s="28">
        <f>WEEKNUM(Table1[[#This Row],[Date]])</f>
        <v>5</v>
      </c>
      <c r="B303" s="35" t="s">
        <v>24</v>
      </c>
      <c r="C303" s="31">
        <v>46050</v>
      </c>
      <c r="D303" s="26" t="s">
        <v>332</v>
      </c>
      <c r="E303" s="22" t="s">
        <v>38</v>
      </c>
      <c r="F303" s="28" t="s">
        <v>518</v>
      </c>
      <c r="G303" s="28" t="s">
        <v>27</v>
      </c>
      <c r="H303" s="24"/>
      <c r="I303" s="24">
        <v>1</v>
      </c>
      <c r="J303" s="28" t="s">
        <v>12</v>
      </c>
      <c r="K303" s="28" t="s">
        <v>349</v>
      </c>
      <c r="L303" s="28" t="s">
        <v>13</v>
      </c>
      <c r="M303" s="28">
        <v>202302646</v>
      </c>
      <c r="N303" s="22" t="s">
        <v>166</v>
      </c>
      <c r="O303" s="22" t="s">
        <v>548</v>
      </c>
      <c r="P303" s="22" t="s">
        <v>11</v>
      </c>
    </row>
    <row r="304" spans="1:16" ht="36" x14ac:dyDescent="0.3">
      <c r="A304" s="28">
        <f>WEEKNUM(Table1[[#This Row],[Date]])</f>
        <v>5</v>
      </c>
      <c r="B304" s="35" t="s">
        <v>24</v>
      </c>
      <c r="C304" s="31">
        <v>46050</v>
      </c>
      <c r="D304" s="26" t="s">
        <v>286</v>
      </c>
      <c r="E304" s="22" t="s">
        <v>38</v>
      </c>
      <c r="F304" s="28" t="s">
        <v>541</v>
      </c>
      <c r="G304" s="28" t="s">
        <v>8</v>
      </c>
      <c r="H304" s="24"/>
      <c r="I304" s="24">
        <v>1</v>
      </c>
      <c r="J304" s="28" t="s">
        <v>352</v>
      </c>
      <c r="K304" s="28" t="s">
        <v>479</v>
      </c>
      <c r="L304" s="28" t="s">
        <v>344</v>
      </c>
      <c r="M304" s="28">
        <v>202302647</v>
      </c>
      <c r="N304" s="22" t="s">
        <v>166</v>
      </c>
      <c r="O304" s="22" t="s">
        <v>542</v>
      </c>
      <c r="P304" s="22" t="s">
        <v>46</v>
      </c>
    </row>
    <row r="305" spans="1:16" ht="36" x14ac:dyDescent="0.3">
      <c r="A305" s="28">
        <f>WEEKNUM(Table1[[#This Row],[Date]])</f>
        <v>5</v>
      </c>
      <c r="B305" s="35" t="s">
        <v>24</v>
      </c>
      <c r="C305" s="31">
        <v>46050</v>
      </c>
      <c r="D305" s="26" t="s">
        <v>286</v>
      </c>
      <c r="E305" s="22" t="s">
        <v>38</v>
      </c>
      <c r="F305" s="28" t="s">
        <v>543</v>
      </c>
      <c r="G305" s="28" t="s">
        <v>27</v>
      </c>
      <c r="H305" s="24"/>
      <c r="I305" s="24">
        <v>1</v>
      </c>
      <c r="J305" s="28" t="s">
        <v>352</v>
      </c>
      <c r="K305" s="28" t="s">
        <v>479</v>
      </c>
      <c r="L305" s="28" t="s">
        <v>55</v>
      </c>
      <c r="M305" s="28">
        <v>202302648</v>
      </c>
      <c r="N305" s="22" t="s">
        <v>165</v>
      </c>
      <c r="O305" s="22" t="s">
        <v>338</v>
      </c>
      <c r="P305" s="22" t="s">
        <v>286</v>
      </c>
    </row>
    <row r="306" spans="1:16" ht="21" x14ac:dyDescent="0.3">
      <c r="A306" s="28">
        <f>WEEKNUM(Table1[[#This Row],[Date]])</f>
        <v>5</v>
      </c>
      <c r="B306" s="35" t="s">
        <v>24</v>
      </c>
      <c r="C306" s="31">
        <v>46050</v>
      </c>
      <c r="D306" s="26" t="s">
        <v>286</v>
      </c>
      <c r="E306" s="22" t="s">
        <v>38</v>
      </c>
      <c r="F306" s="28" t="s">
        <v>544</v>
      </c>
      <c r="G306" s="28" t="s">
        <v>8</v>
      </c>
      <c r="H306" s="24"/>
      <c r="I306" s="24">
        <v>1</v>
      </c>
      <c r="J306" s="28" t="s">
        <v>17</v>
      </c>
      <c r="K306" s="28" t="s">
        <v>353</v>
      </c>
      <c r="L306" s="28" t="s">
        <v>47</v>
      </c>
      <c r="M306" s="28">
        <v>202302650</v>
      </c>
      <c r="N306" s="22" t="s">
        <v>166</v>
      </c>
      <c r="O306" s="22" t="s">
        <v>545</v>
      </c>
      <c r="P306" s="22" t="s">
        <v>14</v>
      </c>
    </row>
    <row r="307" spans="1:16" ht="21" x14ac:dyDescent="0.3">
      <c r="A307" s="28">
        <f>WEEKNUM(Table1[[#This Row],[Date]])</f>
        <v>5</v>
      </c>
      <c r="B307" s="35" t="s">
        <v>24</v>
      </c>
      <c r="C307" s="31">
        <v>46050</v>
      </c>
      <c r="D307" s="26" t="s">
        <v>332</v>
      </c>
      <c r="E307" s="22" t="s">
        <v>38</v>
      </c>
      <c r="F307" s="28" t="s">
        <v>546</v>
      </c>
      <c r="G307" s="28" t="s">
        <v>8</v>
      </c>
      <c r="H307" s="24"/>
      <c r="I307" s="24">
        <v>1</v>
      </c>
      <c r="J307" s="28" t="s">
        <v>12</v>
      </c>
      <c r="K307" s="28" t="s">
        <v>353</v>
      </c>
      <c r="L307" s="28" t="s">
        <v>547</v>
      </c>
      <c r="M307" s="28">
        <v>202302651</v>
      </c>
      <c r="N307" s="22" t="s">
        <v>164</v>
      </c>
      <c r="O307" s="22" t="s">
        <v>256</v>
      </c>
      <c r="P307" s="22" t="s">
        <v>14</v>
      </c>
    </row>
    <row r="308" spans="1:16" ht="21" x14ac:dyDescent="0.3">
      <c r="A308" s="28">
        <f>WEEKNUM(Table1[[#This Row],[Date]])</f>
        <v>5</v>
      </c>
      <c r="B308" s="35" t="s">
        <v>24</v>
      </c>
      <c r="C308" s="31">
        <v>46050</v>
      </c>
      <c r="D308" s="27" t="s">
        <v>11</v>
      </c>
      <c r="E308" s="33" t="s">
        <v>18</v>
      </c>
      <c r="F308" s="28" t="s">
        <v>549</v>
      </c>
      <c r="G308" s="28" t="s">
        <v>27</v>
      </c>
      <c r="H308" s="24">
        <v>3</v>
      </c>
      <c r="I308" s="24">
        <v>0</v>
      </c>
      <c r="J308" s="28"/>
      <c r="K308" s="28" t="s">
        <v>934</v>
      </c>
      <c r="L308" s="28" t="s">
        <v>934</v>
      </c>
      <c r="M308" s="28"/>
      <c r="N308" s="28" t="s">
        <v>934</v>
      </c>
      <c r="O308" s="22"/>
      <c r="P308" s="29" t="s">
        <v>171</v>
      </c>
    </row>
    <row r="309" spans="1:16" ht="21" x14ac:dyDescent="0.3">
      <c r="A309" s="28">
        <f>WEEKNUM(Table1[[#This Row],[Date]])</f>
        <v>5</v>
      </c>
      <c r="B309" s="35" t="s">
        <v>24</v>
      </c>
      <c r="C309" s="31">
        <v>46050</v>
      </c>
      <c r="D309" s="27" t="s">
        <v>11</v>
      </c>
      <c r="E309" s="33" t="s">
        <v>18</v>
      </c>
      <c r="F309" s="28" t="s">
        <v>124</v>
      </c>
      <c r="G309" s="28" t="s">
        <v>27</v>
      </c>
      <c r="H309" s="24">
        <v>6</v>
      </c>
      <c r="I309" s="24">
        <v>0</v>
      </c>
      <c r="J309" s="28"/>
      <c r="K309" s="28" t="s">
        <v>934</v>
      </c>
      <c r="L309" s="28" t="s">
        <v>934</v>
      </c>
      <c r="M309" s="28"/>
      <c r="N309" s="28" t="s">
        <v>934</v>
      </c>
      <c r="O309" s="22"/>
      <c r="P309" s="29" t="s">
        <v>171</v>
      </c>
    </row>
    <row r="310" spans="1:16" ht="21" x14ac:dyDescent="0.3">
      <c r="A310" s="28">
        <f>WEEKNUM(Table1[[#This Row],[Date]])</f>
        <v>5</v>
      </c>
      <c r="B310" s="35" t="s">
        <v>24</v>
      </c>
      <c r="C310" s="31">
        <v>46050</v>
      </c>
      <c r="D310" s="27" t="s">
        <v>11</v>
      </c>
      <c r="E310" s="33" t="s">
        <v>18</v>
      </c>
      <c r="F310" s="28" t="s">
        <v>550</v>
      </c>
      <c r="G310" s="28" t="s">
        <v>27</v>
      </c>
      <c r="H310" s="24">
        <v>5</v>
      </c>
      <c r="I310" s="24">
        <v>0</v>
      </c>
      <c r="J310" s="28"/>
      <c r="K310" s="28" t="s">
        <v>934</v>
      </c>
      <c r="L310" s="28" t="s">
        <v>934</v>
      </c>
      <c r="M310" s="28"/>
      <c r="N310" s="28" t="s">
        <v>934</v>
      </c>
      <c r="O310" s="22"/>
      <c r="P310" s="29" t="s">
        <v>171</v>
      </c>
    </row>
    <row r="311" spans="1:16" ht="21" x14ac:dyDescent="0.3">
      <c r="A311" s="28">
        <f>WEEKNUM(Table1[[#This Row],[Date]])</f>
        <v>5</v>
      </c>
      <c r="B311" s="35" t="s">
        <v>24</v>
      </c>
      <c r="C311" s="31">
        <v>46050</v>
      </c>
      <c r="D311" s="27" t="s">
        <v>11</v>
      </c>
      <c r="E311" s="33" t="s">
        <v>18</v>
      </c>
      <c r="F311" s="28" t="s">
        <v>551</v>
      </c>
      <c r="G311" s="28" t="s">
        <v>27</v>
      </c>
      <c r="H311" s="24">
        <v>6</v>
      </c>
      <c r="I311" s="24">
        <v>0</v>
      </c>
      <c r="J311" s="28"/>
      <c r="K311" s="28" t="s">
        <v>934</v>
      </c>
      <c r="L311" s="28" t="s">
        <v>934</v>
      </c>
      <c r="M311" s="28"/>
      <c r="N311" s="28" t="s">
        <v>934</v>
      </c>
      <c r="O311" s="22"/>
      <c r="P311" s="29" t="s">
        <v>171</v>
      </c>
    </row>
    <row r="312" spans="1:16" ht="21" x14ac:dyDescent="0.3">
      <c r="A312" s="28">
        <f>WEEKNUM(Table1[[#This Row],[Date]])</f>
        <v>5</v>
      </c>
      <c r="B312" s="35" t="s">
        <v>24</v>
      </c>
      <c r="C312" s="31">
        <v>46050</v>
      </c>
      <c r="D312" s="27" t="s">
        <v>11</v>
      </c>
      <c r="E312" s="33" t="s">
        <v>18</v>
      </c>
      <c r="F312" s="28" t="s">
        <v>552</v>
      </c>
      <c r="G312" s="28" t="s">
        <v>27</v>
      </c>
      <c r="H312" s="24">
        <v>24</v>
      </c>
      <c r="I312" s="24">
        <v>0</v>
      </c>
      <c r="J312" s="28"/>
      <c r="K312" s="28" t="s">
        <v>934</v>
      </c>
      <c r="L312" s="28" t="s">
        <v>934</v>
      </c>
      <c r="M312" s="28"/>
      <c r="N312" s="28" t="s">
        <v>934</v>
      </c>
      <c r="O312" s="22"/>
      <c r="P312" s="29" t="s">
        <v>171</v>
      </c>
    </row>
    <row r="313" spans="1:16" ht="21" x14ac:dyDescent="0.3">
      <c r="A313" s="28">
        <f>WEEKNUM(Table1[[#This Row],[Date]])</f>
        <v>5</v>
      </c>
      <c r="B313" s="35" t="s">
        <v>24</v>
      </c>
      <c r="C313" s="31">
        <v>46050</v>
      </c>
      <c r="D313" s="27" t="s">
        <v>11</v>
      </c>
      <c r="E313" s="33" t="s">
        <v>18</v>
      </c>
      <c r="F313" s="28" t="s">
        <v>553</v>
      </c>
      <c r="G313" s="28" t="s">
        <v>27</v>
      </c>
      <c r="H313" s="24">
        <v>12</v>
      </c>
      <c r="I313" s="24">
        <v>0</v>
      </c>
      <c r="J313" s="28"/>
      <c r="K313" s="28" t="s">
        <v>934</v>
      </c>
      <c r="L313" s="28" t="s">
        <v>934</v>
      </c>
      <c r="M313" s="28"/>
      <c r="N313" s="28" t="s">
        <v>934</v>
      </c>
      <c r="O313" s="22"/>
      <c r="P313" s="29" t="s">
        <v>171</v>
      </c>
    </row>
    <row r="314" spans="1:16" ht="21" x14ac:dyDescent="0.35">
      <c r="A314" s="28">
        <f>WEEKNUM(Table1[[#This Row],[Date]])</f>
        <v>5</v>
      </c>
      <c r="B314" s="35" t="s">
        <v>24</v>
      </c>
      <c r="C314" s="31">
        <v>46050</v>
      </c>
      <c r="D314" s="27" t="s">
        <v>11</v>
      </c>
      <c r="E314" s="33" t="s">
        <v>18</v>
      </c>
      <c r="F314" s="28" t="s">
        <v>554</v>
      </c>
      <c r="G314" s="28" t="s">
        <v>8</v>
      </c>
      <c r="H314" s="24">
        <v>4</v>
      </c>
      <c r="I314" s="24">
        <v>1</v>
      </c>
      <c r="J314" s="28" t="s">
        <v>17</v>
      </c>
      <c r="K314" s="28" t="s">
        <v>353</v>
      </c>
      <c r="L314" s="28" t="s">
        <v>555</v>
      </c>
      <c r="M314" s="28">
        <v>251713</v>
      </c>
      <c r="N314" s="22" t="s">
        <v>166</v>
      </c>
      <c r="O314" s="22" t="s">
        <v>556</v>
      </c>
      <c r="P314" s="50" t="s">
        <v>14</v>
      </c>
    </row>
    <row r="315" spans="1:16" ht="21" x14ac:dyDescent="0.3">
      <c r="A315" s="28">
        <f>WEEKNUM(Table1[[#This Row],[Date]])</f>
        <v>5</v>
      </c>
      <c r="B315" s="35" t="s">
        <v>24</v>
      </c>
      <c r="C315" s="31">
        <v>46050</v>
      </c>
      <c r="D315" s="27" t="s">
        <v>11</v>
      </c>
      <c r="E315" s="33" t="s">
        <v>18</v>
      </c>
      <c r="F315" s="28" t="s">
        <v>557</v>
      </c>
      <c r="G315" s="28" t="s">
        <v>8</v>
      </c>
      <c r="H315" s="24">
        <v>7</v>
      </c>
      <c r="I315" s="24">
        <v>0</v>
      </c>
      <c r="J315" s="28"/>
      <c r="K315" s="28" t="s">
        <v>934</v>
      </c>
      <c r="L315" s="28" t="s">
        <v>934</v>
      </c>
      <c r="M315" s="28"/>
      <c r="N315" s="28" t="s">
        <v>934</v>
      </c>
      <c r="O315" s="22"/>
      <c r="P315" s="29" t="s">
        <v>171</v>
      </c>
    </row>
    <row r="316" spans="1:16" ht="21" x14ac:dyDescent="0.35">
      <c r="A316" s="28">
        <f>WEEKNUM(Table1[[#This Row],[Date]])</f>
        <v>5</v>
      </c>
      <c r="B316" s="35" t="s">
        <v>24</v>
      </c>
      <c r="C316" s="31">
        <v>46050</v>
      </c>
      <c r="D316" s="27" t="s">
        <v>11</v>
      </c>
      <c r="E316" s="33" t="s">
        <v>18</v>
      </c>
      <c r="F316" s="28" t="s">
        <v>558</v>
      </c>
      <c r="G316" s="28" t="s">
        <v>8</v>
      </c>
      <c r="H316" s="24">
        <v>7</v>
      </c>
      <c r="I316" s="24">
        <v>1</v>
      </c>
      <c r="J316" s="28" t="s">
        <v>9</v>
      </c>
      <c r="K316" s="28" t="s">
        <v>353</v>
      </c>
      <c r="L316" s="28" t="s">
        <v>159</v>
      </c>
      <c r="M316" s="28">
        <v>251714</v>
      </c>
      <c r="N316" s="22" t="s">
        <v>164</v>
      </c>
      <c r="O316" s="22" t="s">
        <v>330</v>
      </c>
      <c r="P316" s="50" t="s">
        <v>14</v>
      </c>
    </row>
    <row r="317" spans="1:16" ht="21" x14ac:dyDescent="0.35">
      <c r="A317" s="28">
        <f>WEEKNUM(Table1[[#This Row],[Date]])</f>
        <v>5</v>
      </c>
      <c r="B317" s="35" t="s">
        <v>24</v>
      </c>
      <c r="C317" s="31">
        <v>46050</v>
      </c>
      <c r="D317" s="27" t="s">
        <v>11</v>
      </c>
      <c r="E317" s="33" t="s">
        <v>25</v>
      </c>
      <c r="F317" s="28" t="s">
        <v>559</v>
      </c>
      <c r="G317" s="28" t="s">
        <v>8</v>
      </c>
      <c r="H317" s="24">
        <v>6</v>
      </c>
      <c r="I317" s="24">
        <v>1</v>
      </c>
      <c r="J317" s="28" t="s">
        <v>12</v>
      </c>
      <c r="K317" s="28" t="s">
        <v>740</v>
      </c>
      <c r="L317" s="28" t="s">
        <v>466</v>
      </c>
      <c r="M317" s="28">
        <v>251715</v>
      </c>
      <c r="N317" s="22" t="s">
        <v>166</v>
      </c>
      <c r="O317" s="22" t="s">
        <v>560</v>
      </c>
      <c r="P317" s="50" t="s">
        <v>11</v>
      </c>
    </row>
    <row r="318" spans="1:16" ht="21" x14ac:dyDescent="0.35">
      <c r="A318" s="28">
        <f>WEEKNUM(Table1[[#This Row],[Date]])</f>
        <v>5</v>
      </c>
      <c r="B318" s="35" t="s">
        <v>24</v>
      </c>
      <c r="C318" s="31">
        <v>46050</v>
      </c>
      <c r="D318" s="27" t="s">
        <v>11</v>
      </c>
      <c r="E318" s="33" t="s">
        <v>25</v>
      </c>
      <c r="F318" s="28" t="s">
        <v>561</v>
      </c>
      <c r="G318" s="28" t="s">
        <v>27</v>
      </c>
      <c r="H318" s="24">
        <v>18</v>
      </c>
      <c r="I318" s="24">
        <v>1</v>
      </c>
      <c r="J318" s="28" t="s">
        <v>12</v>
      </c>
      <c r="K318" s="28" t="s">
        <v>353</v>
      </c>
      <c r="L318" s="28" t="s">
        <v>34</v>
      </c>
      <c r="M318" s="28">
        <v>251716</v>
      </c>
      <c r="N318" s="22" t="s">
        <v>164</v>
      </c>
      <c r="O318" s="22"/>
      <c r="P318" s="50" t="s">
        <v>11</v>
      </c>
    </row>
    <row r="319" spans="1:16" ht="36" x14ac:dyDescent="0.35">
      <c r="A319" s="28">
        <f>WEEKNUM(Table1[[#This Row],[Date]])</f>
        <v>5</v>
      </c>
      <c r="B319" s="35" t="s">
        <v>24</v>
      </c>
      <c r="C319" s="31">
        <v>46050</v>
      </c>
      <c r="D319" s="27" t="s">
        <v>11</v>
      </c>
      <c r="E319" s="33" t="s">
        <v>25</v>
      </c>
      <c r="F319" s="28" t="s">
        <v>562</v>
      </c>
      <c r="G319" s="28" t="s">
        <v>27</v>
      </c>
      <c r="H319" s="24">
        <v>14</v>
      </c>
      <c r="I319" s="24">
        <v>1</v>
      </c>
      <c r="J319" s="28" t="s">
        <v>12</v>
      </c>
      <c r="K319" s="28" t="s">
        <v>347</v>
      </c>
      <c r="L319" s="28" t="s">
        <v>13</v>
      </c>
      <c r="M319" s="28">
        <v>251717</v>
      </c>
      <c r="N319" s="22" t="s">
        <v>166</v>
      </c>
      <c r="O319" s="22" t="s">
        <v>571</v>
      </c>
      <c r="P319" s="50" t="s">
        <v>11</v>
      </c>
    </row>
    <row r="320" spans="1:16" ht="36" x14ac:dyDescent="0.35">
      <c r="A320" s="28">
        <f>WEEKNUM(Table1[[#This Row],[Date]])</f>
        <v>5</v>
      </c>
      <c r="B320" s="35" t="s">
        <v>24</v>
      </c>
      <c r="C320" s="31">
        <v>46050</v>
      </c>
      <c r="D320" s="27" t="s">
        <v>11</v>
      </c>
      <c r="E320" s="33" t="s">
        <v>25</v>
      </c>
      <c r="F320" s="28" t="s">
        <v>563</v>
      </c>
      <c r="G320" s="28" t="s">
        <v>27</v>
      </c>
      <c r="H320" s="24">
        <v>14</v>
      </c>
      <c r="I320" s="24">
        <v>1</v>
      </c>
      <c r="J320" s="28" t="s">
        <v>12</v>
      </c>
      <c r="K320" s="28" t="s">
        <v>347</v>
      </c>
      <c r="L320" s="28" t="s">
        <v>13</v>
      </c>
      <c r="M320" s="28">
        <v>251718</v>
      </c>
      <c r="N320" s="22" t="s">
        <v>166</v>
      </c>
      <c r="O320" s="22" t="s">
        <v>571</v>
      </c>
      <c r="P320" s="50" t="s">
        <v>11</v>
      </c>
    </row>
    <row r="321" spans="1:16" ht="36" x14ac:dyDescent="0.35">
      <c r="A321" s="28">
        <f>WEEKNUM(Table1[[#This Row],[Date]])</f>
        <v>5</v>
      </c>
      <c r="B321" s="35" t="s">
        <v>24</v>
      </c>
      <c r="C321" s="31">
        <v>46050</v>
      </c>
      <c r="D321" s="27" t="s">
        <v>11</v>
      </c>
      <c r="E321" s="33" t="s">
        <v>25</v>
      </c>
      <c r="F321" s="28" t="s">
        <v>564</v>
      </c>
      <c r="G321" s="28" t="s">
        <v>27</v>
      </c>
      <c r="H321" s="24">
        <v>16</v>
      </c>
      <c r="I321" s="24">
        <v>1</v>
      </c>
      <c r="J321" s="28" t="s">
        <v>12</v>
      </c>
      <c r="K321" s="28" t="s">
        <v>347</v>
      </c>
      <c r="L321" s="28" t="s">
        <v>13</v>
      </c>
      <c r="M321" s="28">
        <v>251719</v>
      </c>
      <c r="N321" s="22" t="s">
        <v>166</v>
      </c>
      <c r="O321" s="22" t="s">
        <v>565</v>
      </c>
      <c r="P321" s="50" t="s">
        <v>11</v>
      </c>
    </row>
    <row r="322" spans="1:16" ht="21" x14ac:dyDescent="0.35">
      <c r="A322" s="28">
        <f>WEEKNUM(Table1[[#This Row],[Date]])</f>
        <v>5</v>
      </c>
      <c r="B322" s="35" t="s">
        <v>24</v>
      </c>
      <c r="C322" s="31">
        <v>46050</v>
      </c>
      <c r="D322" s="27" t="s">
        <v>11</v>
      </c>
      <c r="E322" s="33" t="s">
        <v>25</v>
      </c>
      <c r="F322" s="28" t="s">
        <v>564</v>
      </c>
      <c r="G322" s="28" t="s">
        <v>27</v>
      </c>
      <c r="H322" s="24"/>
      <c r="I322" s="24">
        <v>1</v>
      </c>
      <c r="J322" s="28" t="s">
        <v>212</v>
      </c>
      <c r="K322" s="28" t="s">
        <v>353</v>
      </c>
      <c r="L322" s="28" t="s">
        <v>42</v>
      </c>
      <c r="M322" s="28"/>
      <c r="N322" s="22" t="s">
        <v>164</v>
      </c>
      <c r="O322" s="22" t="s">
        <v>566</v>
      </c>
      <c r="P322" s="50" t="s">
        <v>11</v>
      </c>
    </row>
    <row r="323" spans="1:16" ht="21" x14ac:dyDescent="0.35">
      <c r="A323" s="28">
        <f>WEEKNUM(Table1[[#This Row],[Date]])</f>
        <v>5</v>
      </c>
      <c r="B323" s="35" t="s">
        <v>24</v>
      </c>
      <c r="C323" s="31">
        <v>46050</v>
      </c>
      <c r="D323" s="27" t="s">
        <v>11</v>
      </c>
      <c r="E323" s="33" t="s">
        <v>25</v>
      </c>
      <c r="F323" s="28" t="s">
        <v>567</v>
      </c>
      <c r="G323" s="28" t="s">
        <v>8</v>
      </c>
      <c r="H323" s="24">
        <v>1</v>
      </c>
      <c r="I323" s="24">
        <v>1</v>
      </c>
      <c r="J323" s="28" t="s">
        <v>17</v>
      </c>
      <c r="K323" s="28" t="s">
        <v>353</v>
      </c>
      <c r="L323" s="28" t="s">
        <v>226</v>
      </c>
      <c r="M323" s="28">
        <v>251720</v>
      </c>
      <c r="N323" s="22" t="s">
        <v>166</v>
      </c>
      <c r="O323" s="22" t="s">
        <v>568</v>
      </c>
      <c r="P323" s="50" t="s">
        <v>14</v>
      </c>
    </row>
    <row r="324" spans="1:16" ht="21" x14ac:dyDescent="0.35">
      <c r="A324" s="28">
        <f>WEEKNUM(Table1[[#This Row],[Date]])</f>
        <v>5</v>
      </c>
      <c r="B324" s="35" t="s">
        <v>24</v>
      </c>
      <c r="C324" s="31">
        <v>46050</v>
      </c>
      <c r="D324" s="27" t="s">
        <v>11</v>
      </c>
      <c r="E324" s="33" t="s">
        <v>25</v>
      </c>
      <c r="F324" s="28" t="s">
        <v>569</v>
      </c>
      <c r="G324" s="28" t="s">
        <v>8</v>
      </c>
      <c r="H324" s="24">
        <v>3</v>
      </c>
      <c r="I324" s="24">
        <v>1</v>
      </c>
      <c r="J324" s="28" t="s">
        <v>12</v>
      </c>
      <c r="K324" s="28" t="s">
        <v>61</v>
      </c>
      <c r="L324" s="28" t="s">
        <v>19</v>
      </c>
      <c r="M324" s="28">
        <v>251721</v>
      </c>
      <c r="N324" s="22" t="s">
        <v>166</v>
      </c>
      <c r="O324" s="22" t="s">
        <v>570</v>
      </c>
      <c r="P324" s="50" t="s">
        <v>16</v>
      </c>
    </row>
    <row r="325" spans="1:16" ht="21" x14ac:dyDescent="0.35">
      <c r="A325" s="28">
        <f>WEEKNUM(Table1[[#This Row],[Date]])</f>
        <v>5</v>
      </c>
      <c r="B325" s="35" t="s">
        <v>24</v>
      </c>
      <c r="C325" s="31">
        <v>46051</v>
      </c>
      <c r="D325" s="27" t="s">
        <v>332</v>
      </c>
      <c r="E325" s="33" t="s">
        <v>38</v>
      </c>
      <c r="F325" s="28" t="s">
        <v>591</v>
      </c>
      <c r="G325" s="28" t="s">
        <v>27</v>
      </c>
      <c r="H325" s="24"/>
      <c r="I325" s="24">
        <v>1</v>
      </c>
      <c r="J325" s="28" t="s">
        <v>596</v>
      </c>
      <c r="K325" s="28" t="s">
        <v>350</v>
      </c>
      <c r="L325" s="28" t="s">
        <v>58</v>
      </c>
      <c r="M325" s="28">
        <v>202302652</v>
      </c>
      <c r="N325" s="22" t="s">
        <v>165</v>
      </c>
      <c r="O325" s="22" t="s">
        <v>592</v>
      </c>
      <c r="P325" s="50" t="s">
        <v>46</v>
      </c>
    </row>
    <row r="326" spans="1:16" ht="21" x14ac:dyDescent="0.35">
      <c r="A326" s="28">
        <f>WEEKNUM(Table1[[#This Row],[Date]])</f>
        <v>5</v>
      </c>
      <c r="B326" s="35" t="s">
        <v>24</v>
      </c>
      <c r="C326" s="31">
        <v>46051</v>
      </c>
      <c r="D326" s="27" t="s">
        <v>332</v>
      </c>
      <c r="E326" s="33" t="s">
        <v>38</v>
      </c>
      <c r="F326" s="28" t="s">
        <v>593</v>
      </c>
      <c r="G326" s="28" t="s">
        <v>27</v>
      </c>
      <c r="H326" s="24"/>
      <c r="I326" s="24">
        <v>1</v>
      </c>
      <c r="J326" s="28" t="s">
        <v>212</v>
      </c>
      <c r="K326" s="28" t="s">
        <v>349</v>
      </c>
      <c r="L326" s="28" t="s">
        <v>594</v>
      </c>
      <c r="M326" s="28">
        <v>202302653</v>
      </c>
      <c r="N326" s="22" t="s">
        <v>164</v>
      </c>
      <c r="O326" s="22" t="s">
        <v>595</v>
      </c>
      <c r="P326" s="50" t="s">
        <v>11</v>
      </c>
    </row>
    <row r="327" spans="1:16" ht="18" x14ac:dyDescent="0.35">
      <c r="A327" s="28">
        <f>WEEKNUM(Table1[[#This Row],[Date]])</f>
        <v>5</v>
      </c>
      <c r="B327" s="35" t="s">
        <v>24</v>
      </c>
      <c r="C327" s="31">
        <v>46051</v>
      </c>
      <c r="D327" s="27" t="s">
        <v>11</v>
      </c>
      <c r="E327" s="231" t="s">
        <v>18</v>
      </c>
      <c r="F327" s="232" t="s">
        <v>554</v>
      </c>
      <c r="G327" s="51" t="s">
        <v>8</v>
      </c>
      <c r="H327" s="233">
        <v>1</v>
      </c>
      <c r="I327" s="233">
        <v>0</v>
      </c>
      <c r="J327" s="51"/>
      <c r="K327" s="28" t="s">
        <v>934</v>
      </c>
      <c r="L327" s="28" t="s">
        <v>934</v>
      </c>
      <c r="M327" s="28"/>
      <c r="N327" s="28" t="s">
        <v>934</v>
      </c>
      <c r="O327" s="22"/>
      <c r="P327" s="29" t="s">
        <v>171</v>
      </c>
    </row>
    <row r="328" spans="1:16" ht="18" x14ac:dyDescent="0.35">
      <c r="A328" s="28">
        <f>WEEKNUM(Table1[[#This Row],[Date]])</f>
        <v>5</v>
      </c>
      <c r="B328" s="35" t="s">
        <v>24</v>
      </c>
      <c r="C328" s="31">
        <v>46051</v>
      </c>
      <c r="D328" s="27" t="s">
        <v>11</v>
      </c>
      <c r="E328" s="53" t="s">
        <v>18</v>
      </c>
      <c r="F328" s="235" t="s">
        <v>597</v>
      </c>
      <c r="G328" s="50" t="s">
        <v>27</v>
      </c>
      <c r="H328" s="236">
        <v>4</v>
      </c>
      <c r="I328" s="236">
        <v>0</v>
      </c>
      <c r="J328" s="50"/>
      <c r="K328" s="28" t="s">
        <v>934</v>
      </c>
      <c r="L328" s="28" t="s">
        <v>934</v>
      </c>
      <c r="M328" s="28"/>
      <c r="N328" s="28" t="s">
        <v>934</v>
      </c>
      <c r="O328" s="22"/>
      <c r="P328" s="29" t="s">
        <v>171</v>
      </c>
    </row>
    <row r="329" spans="1:16" ht="18" x14ac:dyDescent="0.35">
      <c r="A329" s="28">
        <f>WEEKNUM(Table1[[#This Row],[Date]])</f>
        <v>5</v>
      </c>
      <c r="B329" s="35" t="s">
        <v>24</v>
      </c>
      <c r="C329" s="31">
        <v>46051</v>
      </c>
      <c r="D329" s="27" t="s">
        <v>11</v>
      </c>
      <c r="E329" s="53" t="s">
        <v>18</v>
      </c>
      <c r="F329" s="235" t="s">
        <v>598</v>
      </c>
      <c r="G329" s="50" t="s">
        <v>27</v>
      </c>
      <c r="H329" s="236">
        <v>6</v>
      </c>
      <c r="I329" s="236">
        <v>0</v>
      </c>
      <c r="J329" s="50"/>
      <c r="K329" s="28" t="s">
        <v>934</v>
      </c>
      <c r="L329" s="28" t="s">
        <v>934</v>
      </c>
      <c r="M329" s="28"/>
      <c r="N329" s="28" t="s">
        <v>934</v>
      </c>
      <c r="O329" s="22"/>
      <c r="P329" s="29" t="s">
        <v>171</v>
      </c>
    </row>
    <row r="330" spans="1:16" ht="21" x14ac:dyDescent="0.35">
      <c r="A330" s="28">
        <f>WEEKNUM(Table1[[#This Row],[Date]])</f>
        <v>5</v>
      </c>
      <c r="B330" s="35" t="s">
        <v>24</v>
      </c>
      <c r="C330" s="31">
        <v>46051</v>
      </c>
      <c r="D330" s="27" t="s">
        <v>11</v>
      </c>
      <c r="E330" s="53" t="s">
        <v>18</v>
      </c>
      <c r="F330" s="235" t="s">
        <v>599</v>
      </c>
      <c r="G330" s="50" t="s">
        <v>27</v>
      </c>
      <c r="H330" s="236">
        <v>6</v>
      </c>
      <c r="I330" s="24">
        <v>1</v>
      </c>
      <c r="J330" s="50" t="s">
        <v>12</v>
      </c>
      <c r="K330" s="28" t="s">
        <v>349</v>
      </c>
      <c r="L330" s="28" t="s">
        <v>13</v>
      </c>
      <c r="M330" s="28">
        <v>251722</v>
      </c>
      <c r="N330" s="22" t="s">
        <v>166</v>
      </c>
      <c r="O330" s="22" t="s">
        <v>600</v>
      </c>
      <c r="P330" s="50" t="s">
        <v>11</v>
      </c>
    </row>
    <row r="331" spans="1:16" ht="18" x14ac:dyDescent="0.35">
      <c r="A331" s="28">
        <f>WEEKNUM(Table1[[#This Row],[Date]])</f>
        <v>5</v>
      </c>
      <c r="B331" s="35" t="s">
        <v>24</v>
      </c>
      <c r="C331" s="31">
        <v>46051</v>
      </c>
      <c r="D331" s="27" t="s">
        <v>11</v>
      </c>
      <c r="E331" s="53" t="s">
        <v>18</v>
      </c>
      <c r="F331" s="235" t="s">
        <v>601</v>
      </c>
      <c r="G331" s="50" t="s">
        <v>27</v>
      </c>
      <c r="H331" s="236">
        <v>35</v>
      </c>
      <c r="I331" s="236">
        <v>0</v>
      </c>
      <c r="J331" s="50"/>
      <c r="K331" s="28" t="s">
        <v>934</v>
      </c>
      <c r="L331" s="28" t="s">
        <v>934</v>
      </c>
      <c r="M331" s="28"/>
      <c r="N331" s="28" t="s">
        <v>934</v>
      </c>
      <c r="O331" s="22"/>
      <c r="P331" s="29" t="s">
        <v>171</v>
      </c>
    </row>
    <row r="332" spans="1:16" ht="18" x14ac:dyDescent="0.35">
      <c r="A332" s="28">
        <f>WEEKNUM(Table1[[#This Row],[Date]])</f>
        <v>5</v>
      </c>
      <c r="B332" s="35" t="s">
        <v>24</v>
      </c>
      <c r="C332" s="31">
        <v>46051</v>
      </c>
      <c r="D332" s="27" t="s">
        <v>11</v>
      </c>
      <c r="E332" s="53" t="s">
        <v>18</v>
      </c>
      <c r="F332" s="235" t="s">
        <v>602</v>
      </c>
      <c r="G332" s="50" t="s">
        <v>27</v>
      </c>
      <c r="H332" s="236">
        <v>8</v>
      </c>
      <c r="I332" s="236">
        <v>0</v>
      </c>
      <c r="J332" s="50"/>
      <c r="K332" s="28" t="s">
        <v>934</v>
      </c>
      <c r="L332" s="28" t="s">
        <v>934</v>
      </c>
      <c r="M332" s="28"/>
      <c r="N332" s="28" t="s">
        <v>934</v>
      </c>
      <c r="O332" s="22"/>
      <c r="P332" s="29" t="s">
        <v>171</v>
      </c>
    </row>
    <row r="333" spans="1:16" ht="18" x14ac:dyDescent="0.35">
      <c r="A333" s="28">
        <f>WEEKNUM(Table1[[#This Row],[Date]])</f>
        <v>5</v>
      </c>
      <c r="B333" s="35" t="s">
        <v>24</v>
      </c>
      <c r="C333" s="31">
        <v>46051</v>
      </c>
      <c r="D333" s="27" t="s">
        <v>11</v>
      </c>
      <c r="E333" s="53" t="s">
        <v>18</v>
      </c>
      <c r="F333" s="235" t="s">
        <v>603</v>
      </c>
      <c r="G333" s="50" t="s">
        <v>8</v>
      </c>
      <c r="H333" s="236">
        <v>4</v>
      </c>
      <c r="I333" s="236">
        <v>0</v>
      </c>
      <c r="J333" s="50"/>
      <c r="K333" s="28" t="s">
        <v>934</v>
      </c>
      <c r="L333" s="28" t="s">
        <v>934</v>
      </c>
      <c r="M333" s="28"/>
      <c r="N333" s="28" t="s">
        <v>934</v>
      </c>
      <c r="O333" s="22"/>
      <c r="P333" s="29" t="s">
        <v>171</v>
      </c>
    </row>
    <row r="334" spans="1:16" ht="18" x14ac:dyDescent="0.35">
      <c r="A334" s="28">
        <f>WEEKNUM(Table1[[#This Row],[Date]])</f>
        <v>5</v>
      </c>
      <c r="B334" s="35" t="s">
        <v>24</v>
      </c>
      <c r="C334" s="31">
        <v>46051</v>
      </c>
      <c r="D334" s="27" t="s">
        <v>11</v>
      </c>
      <c r="E334" s="53" t="s">
        <v>18</v>
      </c>
      <c r="F334" s="235" t="s">
        <v>604</v>
      </c>
      <c r="G334" s="50" t="s">
        <v>27</v>
      </c>
      <c r="H334" s="236">
        <v>3</v>
      </c>
      <c r="I334" s="236">
        <v>0</v>
      </c>
      <c r="J334" s="50"/>
      <c r="K334" s="28" t="s">
        <v>934</v>
      </c>
      <c r="L334" s="28" t="s">
        <v>934</v>
      </c>
      <c r="M334" s="28"/>
      <c r="N334" s="28" t="s">
        <v>934</v>
      </c>
      <c r="O334" s="22"/>
      <c r="P334" s="29" t="s">
        <v>171</v>
      </c>
    </row>
    <row r="335" spans="1:16" ht="18" x14ac:dyDescent="0.35">
      <c r="A335" s="28">
        <f>WEEKNUM(Table1[[#This Row],[Date]])</f>
        <v>5</v>
      </c>
      <c r="B335" s="35" t="s">
        <v>24</v>
      </c>
      <c r="C335" s="31">
        <v>46051</v>
      </c>
      <c r="D335" s="27" t="s">
        <v>11</v>
      </c>
      <c r="E335" s="53" t="s">
        <v>18</v>
      </c>
      <c r="F335" s="235" t="s">
        <v>605</v>
      </c>
      <c r="G335" s="50" t="s">
        <v>27</v>
      </c>
      <c r="H335" s="236">
        <v>8</v>
      </c>
      <c r="I335" s="236">
        <v>0</v>
      </c>
      <c r="J335" s="50"/>
      <c r="K335" s="28" t="s">
        <v>934</v>
      </c>
      <c r="L335" s="28" t="s">
        <v>934</v>
      </c>
      <c r="M335" s="28"/>
      <c r="N335" s="28" t="s">
        <v>934</v>
      </c>
      <c r="O335" s="22"/>
      <c r="P335" s="29" t="s">
        <v>171</v>
      </c>
    </row>
    <row r="336" spans="1:16" ht="18" x14ac:dyDescent="0.35">
      <c r="A336" s="28">
        <f>WEEKNUM(Table1[[#This Row],[Date]])</f>
        <v>5</v>
      </c>
      <c r="B336" s="35" t="s">
        <v>24</v>
      </c>
      <c r="C336" s="31">
        <v>46051</v>
      </c>
      <c r="D336" s="27" t="s">
        <v>11</v>
      </c>
      <c r="E336" s="53" t="s">
        <v>18</v>
      </c>
      <c r="F336" s="235" t="s">
        <v>606</v>
      </c>
      <c r="G336" s="50" t="s">
        <v>27</v>
      </c>
      <c r="H336" s="236">
        <v>7</v>
      </c>
      <c r="I336" s="236">
        <v>0</v>
      </c>
      <c r="J336" s="50"/>
      <c r="K336" s="28" t="s">
        <v>934</v>
      </c>
      <c r="L336" s="28" t="s">
        <v>934</v>
      </c>
      <c r="M336" s="28"/>
      <c r="N336" s="28" t="s">
        <v>934</v>
      </c>
      <c r="O336" s="22"/>
      <c r="P336" s="29" t="s">
        <v>171</v>
      </c>
    </row>
    <row r="337" spans="1:16" ht="18" x14ac:dyDescent="0.35">
      <c r="A337" s="28">
        <f>WEEKNUM(Table1[[#This Row],[Date]])</f>
        <v>5</v>
      </c>
      <c r="B337" s="35" t="s">
        <v>24</v>
      </c>
      <c r="C337" s="31">
        <v>46051</v>
      </c>
      <c r="D337" s="27" t="s">
        <v>11</v>
      </c>
      <c r="E337" s="53" t="s">
        <v>18</v>
      </c>
      <c r="F337" s="235" t="s">
        <v>607</v>
      </c>
      <c r="G337" s="50" t="s">
        <v>27</v>
      </c>
      <c r="H337" s="236">
        <v>2</v>
      </c>
      <c r="I337" s="236">
        <v>0</v>
      </c>
      <c r="J337" s="50"/>
      <c r="K337" s="28" t="s">
        <v>934</v>
      </c>
      <c r="L337" s="28" t="s">
        <v>934</v>
      </c>
      <c r="M337" s="28"/>
      <c r="N337" s="28" t="s">
        <v>934</v>
      </c>
      <c r="O337" s="22"/>
      <c r="P337" s="29" t="s">
        <v>171</v>
      </c>
    </row>
    <row r="338" spans="1:16" ht="21" x14ac:dyDescent="0.35">
      <c r="A338" s="28">
        <f>WEEKNUM(Table1[[#This Row],[Date]])</f>
        <v>5</v>
      </c>
      <c r="B338" s="35" t="s">
        <v>24</v>
      </c>
      <c r="C338" s="31">
        <v>46051</v>
      </c>
      <c r="D338" s="27" t="s">
        <v>11</v>
      </c>
      <c r="E338" s="53" t="s">
        <v>25</v>
      </c>
      <c r="F338" s="235" t="s">
        <v>608</v>
      </c>
      <c r="G338" s="50" t="s">
        <v>8</v>
      </c>
      <c r="H338" s="236">
        <v>5</v>
      </c>
      <c r="I338" s="24">
        <v>1</v>
      </c>
      <c r="J338" s="50" t="s">
        <v>9</v>
      </c>
      <c r="K338" s="28" t="s">
        <v>349</v>
      </c>
      <c r="L338" s="28" t="s">
        <v>13</v>
      </c>
      <c r="M338" s="28">
        <v>251723</v>
      </c>
      <c r="N338" s="22" t="s">
        <v>166</v>
      </c>
      <c r="O338" s="22" t="s">
        <v>315</v>
      </c>
      <c r="P338" s="50" t="s">
        <v>11</v>
      </c>
    </row>
    <row r="339" spans="1:16" ht="21" x14ac:dyDescent="0.35">
      <c r="A339" s="28">
        <f>WEEKNUM(Table1[[#This Row],[Date]])</f>
        <v>5</v>
      </c>
      <c r="B339" s="35" t="s">
        <v>24</v>
      </c>
      <c r="C339" s="31">
        <v>46051</v>
      </c>
      <c r="D339" s="27" t="s">
        <v>11</v>
      </c>
      <c r="E339" s="53" t="s">
        <v>25</v>
      </c>
      <c r="F339" s="235" t="s">
        <v>608</v>
      </c>
      <c r="G339" s="50" t="s">
        <v>8</v>
      </c>
      <c r="H339" s="236"/>
      <c r="I339" s="24">
        <v>1</v>
      </c>
      <c r="J339" s="50" t="s">
        <v>115</v>
      </c>
      <c r="K339" s="28" t="s">
        <v>61</v>
      </c>
      <c r="L339" s="28" t="s">
        <v>35</v>
      </c>
      <c r="M339" s="28">
        <v>251724</v>
      </c>
      <c r="N339" s="22" t="s">
        <v>166</v>
      </c>
      <c r="O339" s="22"/>
      <c r="P339" s="50" t="s">
        <v>16</v>
      </c>
    </row>
    <row r="340" spans="1:16" ht="18" x14ac:dyDescent="0.35">
      <c r="A340" s="28">
        <f>WEEKNUM(Table1[[#This Row],[Date]])</f>
        <v>5</v>
      </c>
      <c r="B340" s="35" t="s">
        <v>24</v>
      </c>
      <c r="C340" s="31">
        <v>46051</v>
      </c>
      <c r="D340" s="27" t="s">
        <v>11</v>
      </c>
      <c r="E340" s="53" t="s">
        <v>25</v>
      </c>
      <c r="F340" s="235" t="s">
        <v>567</v>
      </c>
      <c r="G340" s="50" t="s">
        <v>8</v>
      </c>
      <c r="H340" s="236">
        <v>4</v>
      </c>
      <c r="I340" s="236">
        <v>0</v>
      </c>
      <c r="J340" s="50"/>
      <c r="K340" s="28" t="s">
        <v>934</v>
      </c>
      <c r="L340" s="28" t="s">
        <v>934</v>
      </c>
      <c r="M340" s="28"/>
      <c r="N340" s="28" t="s">
        <v>934</v>
      </c>
      <c r="O340" s="22"/>
      <c r="P340" s="29" t="s">
        <v>171</v>
      </c>
    </row>
    <row r="341" spans="1:16" ht="18" x14ac:dyDescent="0.35">
      <c r="A341" s="28">
        <f>WEEKNUM(Table1[[#This Row],[Date]])</f>
        <v>5</v>
      </c>
      <c r="B341" s="35" t="s">
        <v>24</v>
      </c>
      <c r="C341" s="31">
        <v>46051</v>
      </c>
      <c r="D341" s="27" t="s">
        <v>11</v>
      </c>
      <c r="E341" s="53" t="s">
        <v>25</v>
      </c>
      <c r="F341" s="235" t="s">
        <v>609</v>
      </c>
      <c r="G341" s="50" t="s">
        <v>8</v>
      </c>
      <c r="H341" s="236">
        <v>4</v>
      </c>
      <c r="I341" s="236">
        <v>0</v>
      </c>
      <c r="J341" s="50"/>
      <c r="K341" s="28" t="s">
        <v>934</v>
      </c>
      <c r="L341" s="28" t="s">
        <v>934</v>
      </c>
      <c r="M341" s="28"/>
      <c r="N341" s="28" t="s">
        <v>934</v>
      </c>
      <c r="O341" s="22"/>
      <c r="P341" s="29" t="s">
        <v>171</v>
      </c>
    </row>
    <row r="342" spans="1:16" ht="18" x14ac:dyDescent="0.35">
      <c r="A342" s="28">
        <f>WEEKNUM(Table1[[#This Row],[Date]])</f>
        <v>5</v>
      </c>
      <c r="B342" s="35" t="s">
        <v>24</v>
      </c>
      <c r="C342" s="31">
        <v>46051</v>
      </c>
      <c r="D342" s="27" t="s">
        <v>11</v>
      </c>
      <c r="E342" s="53" t="s">
        <v>25</v>
      </c>
      <c r="F342" s="235" t="s">
        <v>610</v>
      </c>
      <c r="G342" s="50" t="s">
        <v>27</v>
      </c>
      <c r="H342" s="236">
        <v>12</v>
      </c>
      <c r="I342" s="236">
        <v>0</v>
      </c>
      <c r="J342" s="50"/>
      <c r="K342" s="28" t="s">
        <v>934</v>
      </c>
      <c r="L342" s="28" t="s">
        <v>934</v>
      </c>
      <c r="M342" s="28"/>
      <c r="N342" s="28" t="s">
        <v>934</v>
      </c>
      <c r="O342" s="22"/>
      <c r="P342" s="29" t="s">
        <v>171</v>
      </c>
    </row>
    <row r="343" spans="1:16" ht="21" x14ac:dyDescent="0.35">
      <c r="A343" s="28">
        <f>WEEKNUM(Table1[[#This Row],[Date]])</f>
        <v>5</v>
      </c>
      <c r="B343" s="35" t="s">
        <v>24</v>
      </c>
      <c r="C343" s="31">
        <v>46051</v>
      </c>
      <c r="D343" s="27" t="s">
        <v>11</v>
      </c>
      <c r="E343" s="53" t="s">
        <v>25</v>
      </c>
      <c r="F343" s="235" t="s">
        <v>611</v>
      </c>
      <c r="G343" s="50" t="s">
        <v>8</v>
      </c>
      <c r="H343" s="236">
        <v>1</v>
      </c>
      <c r="I343" s="24">
        <v>1</v>
      </c>
      <c r="J343" s="50" t="s">
        <v>229</v>
      </c>
      <c r="K343" s="28" t="s">
        <v>61</v>
      </c>
      <c r="L343" s="28" t="s">
        <v>612</v>
      </c>
      <c r="M343" s="28">
        <v>251725</v>
      </c>
      <c r="N343" s="22" t="s">
        <v>164</v>
      </c>
      <c r="O343" s="22" t="s">
        <v>613</v>
      </c>
      <c r="P343" s="50" t="s">
        <v>16</v>
      </c>
    </row>
    <row r="344" spans="1:16" ht="18" x14ac:dyDescent="0.35">
      <c r="A344" s="28">
        <f>WEEKNUM(Table1[[#This Row],[Date]])</f>
        <v>5</v>
      </c>
      <c r="B344" s="35" t="s">
        <v>24</v>
      </c>
      <c r="C344" s="31">
        <v>46051</v>
      </c>
      <c r="D344" s="27" t="s">
        <v>11</v>
      </c>
      <c r="E344" s="53" t="s">
        <v>25</v>
      </c>
      <c r="F344" s="235" t="s">
        <v>614</v>
      </c>
      <c r="G344" s="50" t="s">
        <v>27</v>
      </c>
      <c r="H344" s="236">
        <v>30</v>
      </c>
      <c r="I344" s="236">
        <v>0</v>
      </c>
      <c r="J344" s="50"/>
      <c r="K344" s="28" t="s">
        <v>934</v>
      </c>
      <c r="L344" s="28" t="s">
        <v>934</v>
      </c>
      <c r="M344" s="28"/>
      <c r="N344" s="28" t="s">
        <v>934</v>
      </c>
      <c r="O344" s="22"/>
      <c r="P344" s="29" t="s">
        <v>171</v>
      </c>
    </row>
    <row r="345" spans="1:16" ht="18" x14ac:dyDescent="0.35">
      <c r="A345" s="28">
        <f>WEEKNUM(Table1[[#This Row],[Date]])</f>
        <v>5</v>
      </c>
      <c r="B345" s="35" t="s">
        <v>24</v>
      </c>
      <c r="C345" s="31">
        <v>46051</v>
      </c>
      <c r="D345" s="27" t="s">
        <v>11</v>
      </c>
      <c r="E345" s="53" t="s">
        <v>25</v>
      </c>
      <c r="F345" s="235" t="s">
        <v>615</v>
      </c>
      <c r="G345" s="50" t="s">
        <v>27</v>
      </c>
      <c r="H345" s="236">
        <v>5</v>
      </c>
      <c r="I345" s="236">
        <v>0</v>
      </c>
      <c r="J345" s="50"/>
      <c r="K345" s="28" t="s">
        <v>934</v>
      </c>
      <c r="L345" s="28" t="s">
        <v>934</v>
      </c>
      <c r="M345" s="28"/>
      <c r="N345" s="28" t="s">
        <v>934</v>
      </c>
      <c r="O345" s="22"/>
      <c r="P345" s="29" t="s">
        <v>171</v>
      </c>
    </row>
    <row r="346" spans="1:16" ht="18" x14ac:dyDescent="0.35">
      <c r="A346" s="28">
        <f>WEEKNUM(Table1[[#This Row],[Date]])</f>
        <v>5</v>
      </c>
      <c r="B346" s="35" t="s">
        <v>24</v>
      </c>
      <c r="C346" s="31">
        <v>46051</v>
      </c>
      <c r="D346" s="27" t="s">
        <v>11</v>
      </c>
      <c r="E346" s="53" t="s">
        <v>25</v>
      </c>
      <c r="F346" s="235" t="s">
        <v>616</v>
      </c>
      <c r="G346" s="50" t="s">
        <v>27</v>
      </c>
      <c r="H346" s="236">
        <v>6</v>
      </c>
      <c r="I346" s="236">
        <v>0</v>
      </c>
      <c r="J346" s="50"/>
      <c r="K346" s="28" t="s">
        <v>934</v>
      </c>
      <c r="L346" s="28" t="s">
        <v>934</v>
      </c>
      <c r="M346" s="28"/>
      <c r="N346" s="28" t="s">
        <v>934</v>
      </c>
      <c r="O346" s="22"/>
      <c r="P346" s="29" t="s">
        <v>171</v>
      </c>
    </row>
    <row r="347" spans="1:16" ht="21" x14ac:dyDescent="0.35">
      <c r="A347" s="28">
        <f>WEEKNUM(Table1[[#This Row],[Date]])</f>
        <v>5</v>
      </c>
      <c r="B347" s="35" t="s">
        <v>24</v>
      </c>
      <c r="C347" s="31">
        <v>46052</v>
      </c>
      <c r="D347" s="27" t="s">
        <v>332</v>
      </c>
      <c r="E347" s="53" t="s">
        <v>38</v>
      </c>
      <c r="F347" s="235" t="s">
        <v>631</v>
      </c>
      <c r="G347" s="50" t="s">
        <v>27</v>
      </c>
      <c r="H347" s="236"/>
      <c r="I347" s="24">
        <v>1</v>
      </c>
      <c r="J347" s="50" t="s">
        <v>15</v>
      </c>
      <c r="K347" s="28" t="s">
        <v>350</v>
      </c>
      <c r="L347" s="28" t="s">
        <v>152</v>
      </c>
      <c r="M347" s="28">
        <v>202302654</v>
      </c>
      <c r="N347" s="28" t="s">
        <v>169</v>
      </c>
      <c r="O347" s="50" t="s">
        <v>632</v>
      </c>
      <c r="P347" s="29" t="s">
        <v>11</v>
      </c>
    </row>
    <row r="348" spans="1:16" ht="36" x14ac:dyDescent="0.35">
      <c r="A348" s="28">
        <f>WEEKNUM(Table1[[#This Row],[Date]])</f>
        <v>5</v>
      </c>
      <c r="B348" s="35" t="s">
        <v>24</v>
      </c>
      <c r="C348" s="31">
        <v>46052</v>
      </c>
      <c r="D348" s="27" t="s">
        <v>286</v>
      </c>
      <c r="E348" s="53" t="s">
        <v>38</v>
      </c>
      <c r="F348" s="235" t="s">
        <v>591</v>
      </c>
      <c r="G348" s="50" t="s">
        <v>27</v>
      </c>
      <c r="H348" s="236"/>
      <c r="I348" s="24">
        <v>1</v>
      </c>
      <c r="J348" s="50" t="s">
        <v>253</v>
      </c>
      <c r="K348" s="28" t="s">
        <v>479</v>
      </c>
      <c r="L348" s="28" t="s">
        <v>55</v>
      </c>
      <c r="M348" s="28">
        <v>202302655</v>
      </c>
      <c r="N348" s="28" t="s">
        <v>165</v>
      </c>
      <c r="O348" s="22" t="s">
        <v>253</v>
      </c>
      <c r="P348" s="50" t="s">
        <v>46</v>
      </c>
    </row>
    <row r="349" spans="1:16" ht="21" x14ac:dyDescent="0.35">
      <c r="A349" s="28">
        <f>WEEKNUM(Table1[[#This Row],[Date]])</f>
        <v>5</v>
      </c>
      <c r="B349" s="35" t="s">
        <v>24</v>
      </c>
      <c r="C349" s="31">
        <v>46052</v>
      </c>
      <c r="D349" s="27" t="s">
        <v>332</v>
      </c>
      <c r="E349" s="53" t="s">
        <v>38</v>
      </c>
      <c r="F349" s="235" t="s">
        <v>593</v>
      </c>
      <c r="G349" s="50" t="s">
        <v>27</v>
      </c>
      <c r="H349" s="236"/>
      <c r="I349" s="24">
        <v>1</v>
      </c>
      <c r="J349" s="50" t="s">
        <v>212</v>
      </c>
      <c r="K349" s="28" t="s">
        <v>349</v>
      </c>
      <c r="L349" s="28" t="s">
        <v>594</v>
      </c>
      <c r="M349" s="28">
        <v>202302657</v>
      </c>
      <c r="N349" s="28" t="s">
        <v>164</v>
      </c>
      <c r="O349" s="50" t="s">
        <v>633</v>
      </c>
      <c r="P349" s="29" t="s">
        <v>11</v>
      </c>
    </row>
    <row r="350" spans="1:16" ht="36" x14ac:dyDescent="0.35">
      <c r="A350" s="28">
        <f>WEEKNUM(Table1[[#This Row],[Date]])</f>
        <v>5</v>
      </c>
      <c r="B350" s="35" t="s">
        <v>24</v>
      </c>
      <c r="C350" s="31">
        <v>46052</v>
      </c>
      <c r="D350" s="27" t="s">
        <v>332</v>
      </c>
      <c r="E350" s="53" t="s">
        <v>38</v>
      </c>
      <c r="F350" s="235" t="s">
        <v>631</v>
      </c>
      <c r="G350" s="50" t="s">
        <v>27</v>
      </c>
      <c r="H350" s="236"/>
      <c r="I350" s="24">
        <v>1</v>
      </c>
      <c r="J350" s="50" t="s">
        <v>170</v>
      </c>
      <c r="K350" s="28" t="s">
        <v>479</v>
      </c>
      <c r="L350" s="28" t="s">
        <v>55</v>
      </c>
      <c r="M350" s="28">
        <v>202302658</v>
      </c>
      <c r="N350" s="28" t="s">
        <v>165</v>
      </c>
      <c r="O350" s="22" t="s">
        <v>264</v>
      </c>
      <c r="P350" s="50" t="s">
        <v>46</v>
      </c>
    </row>
    <row r="351" spans="1:16" ht="21" x14ac:dyDescent="0.35">
      <c r="A351" s="28">
        <f>WEEKNUM(Table1[[#This Row],[Date]])</f>
        <v>5</v>
      </c>
      <c r="B351" s="35" t="s">
        <v>24</v>
      </c>
      <c r="C351" s="31">
        <v>46052</v>
      </c>
      <c r="D351" s="27" t="s">
        <v>332</v>
      </c>
      <c r="E351" s="53" t="s">
        <v>38</v>
      </c>
      <c r="F351" s="235" t="s">
        <v>611</v>
      </c>
      <c r="G351" s="50" t="s">
        <v>8</v>
      </c>
      <c r="H351" s="236"/>
      <c r="I351" s="24">
        <v>1</v>
      </c>
      <c r="J351" s="50" t="s">
        <v>17</v>
      </c>
      <c r="K351" s="28" t="s">
        <v>353</v>
      </c>
      <c r="L351" s="28" t="s">
        <v>344</v>
      </c>
      <c r="M351" s="28">
        <v>202302659</v>
      </c>
      <c r="N351" s="28" t="s">
        <v>164</v>
      </c>
      <c r="O351" s="50" t="s">
        <v>489</v>
      </c>
      <c r="P351" s="29" t="s">
        <v>14</v>
      </c>
    </row>
    <row r="352" spans="1:16" ht="18" x14ac:dyDescent="0.35">
      <c r="A352" s="28">
        <f>WEEKNUM(Table1[[#This Row],[Date]])</f>
        <v>5</v>
      </c>
      <c r="B352" s="35" t="s">
        <v>24</v>
      </c>
      <c r="C352" s="31">
        <v>46052</v>
      </c>
      <c r="D352" s="27" t="s">
        <v>11</v>
      </c>
      <c r="E352" s="53" t="s">
        <v>18</v>
      </c>
      <c r="F352" s="235" t="s">
        <v>557</v>
      </c>
      <c r="G352" s="50" t="s">
        <v>27</v>
      </c>
      <c r="H352" s="236">
        <v>7</v>
      </c>
      <c r="I352" s="236">
        <v>0</v>
      </c>
      <c r="J352" s="50"/>
      <c r="K352" s="28" t="s">
        <v>934</v>
      </c>
      <c r="L352" s="28" t="s">
        <v>934</v>
      </c>
      <c r="M352" s="28"/>
      <c r="N352" s="28" t="s">
        <v>934</v>
      </c>
      <c r="O352" s="22"/>
      <c r="P352" s="29" t="s">
        <v>171</v>
      </c>
    </row>
    <row r="353" spans="1:16" ht="18" x14ac:dyDescent="0.35">
      <c r="A353" s="28">
        <f>WEEKNUM(Table1[[#This Row],[Date]])</f>
        <v>5</v>
      </c>
      <c r="B353" s="35" t="s">
        <v>24</v>
      </c>
      <c r="C353" s="31">
        <v>46052</v>
      </c>
      <c r="D353" s="27" t="s">
        <v>11</v>
      </c>
      <c r="E353" s="53" t="s">
        <v>18</v>
      </c>
      <c r="F353" s="235" t="s">
        <v>634</v>
      </c>
      <c r="G353" s="50" t="s">
        <v>8</v>
      </c>
      <c r="H353" s="236">
        <v>8</v>
      </c>
      <c r="I353" s="236">
        <v>0</v>
      </c>
      <c r="J353" s="50"/>
      <c r="K353" s="28" t="s">
        <v>934</v>
      </c>
      <c r="L353" s="28" t="s">
        <v>934</v>
      </c>
      <c r="M353" s="28"/>
      <c r="N353" s="28" t="s">
        <v>934</v>
      </c>
      <c r="O353" s="22"/>
      <c r="P353" s="29" t="s">
        <v>171</v>
      </c>
    </row>
    <row r="354" spans="1:16" ht="21" x14ac:dyDescent="0.35">
      <c r="A354" s="28">
        <f>WEEKNUM(Table1[[#This Row],[Date]])</f>
        <v>5</v>
      </c>
      <c r="B354" s="35" t="s">
        <v>24</v>
      </c>
      <c r="C354" s="31">
        <v>46052</v>
      </c>
      <c r="D354" s="27" t="s">
        <v>11</v>
      </c>
      <c r="E354" s="53" t="s">
        <v>18</v>
      </c>
      <c r="F354" s="235" t="s">
        <v>635</v>
      </c>
      <c r="G354" s="50" t="s">
        <v>8</v>
      </c>
      <c r="H354" s="236">
        <v>1</v>
      </c>
      <c r="I354" s="24">
        <v>1</v>
      </c>
      <c r="J354" s="50" t="s">
        <v>197</v>
      </c>
      <c r="K354" s="28" t="s">
        <v>61</v>
      </c>
      <c r="L354" s="28" t="s">
        <v>612</v>
      </c>
      <c r="M354" s="28">
        <v>251726</v>
      </c>
      <c r="N354" s="28" t="s">
        <v>164</v>
      </c>
      <c r="O354" s="22" t="s">
        <v>240</v>
      </c>
      <c r="P354" s="50" t="s">
        <v>16</v>
      </c>
    </row>
    <row r="355" spans="1:16" ht="18" x14ac:dyDescent="0.35">
      <c r="A355" s="28">
        <f>WEEKNUM(Table1[[#This Row],[Date]])</f>
        <v>5</v>
      </c>
      <c r="B355" s="35" t="s">
        <v>24</v>
      </c>
      <c r="C355" s="31">
        <v>46052</v>
      </c>
      <c r="D355" s="27" t="s">
        <v>11</v>
      </c>
      <c r="E355" s="53" t="s">
        <v>18</v>
      </c>
      <c r="F355" s="235" t="s">
        <v>636</v>
      </c>
      <c r="G355" s="50" t="s">
        <v>27</v>
      </c>
      <c r="H355" s="236">
        <v>4</v>
      </c>
      <c r="I355" s="236">
        <v>0</v>
      </c>
      <c r="J355" s="50"/>
      <c r="K355" s="28" t="s">
        <v>934</v>
      </c>
      <c r="L355" s="28" t="s">
        <v>934</v>
      </c>
      <c r="M355" s="28"/>
      <c r="N355" s="28" t="s">
        <v>934</v>
      </c>
      <c r="O355" s="22"/>
      <c r="P355" s="29" t="s">
        <v>171</v>
      </c>
    </row>
    <row r="356" spans="1:16" ht="21" x14ac:dyDescent="0.35">
      <c r="A356" s="28">
        <f>WEEKNUM(Table1[[#This Row],[Date]])</f>
        <v>5</v>
      </c>
      <c r="B356" s="35" t="s">
        <v>24</v>
      </c>
      <c r="C356" s="31">
        <v>46052</v>
      </c>
      <c r="D356" s="27" t="s">
        <v>11</v>
      </c>
      <c r="E356" s="53" t="s">
        <v>18</v>
      </c>
      <c r="F356" s="235" t="s">
        <v>637</v>
      </c>
      <c r="G356" s="50" t="s">
        <v>8</v>
      </c>
      <c r="H356" s="236">
        <v>1</v>
      </c>
      <c r="I356" s="24">
        <v>1</v>
      </c>
      <c r="J356" s="50" t="s">
        <v>17</v>
      </c>
      <c r="K356" s="28" t="s">
        <v>61</v>
      </c>
      <c r="L356" s="28" t="s">
        <v>612</v>
      </c>
      <c r="M356" s="28">
        <v>251727</v>
      </c>
      <c r="N356" s="28" t="s">
        <v>164</v>
      </c>
      <c r="O356" s="22" t="s">
        <v>236</v>
      </c>
      <c r="P356" s="50" t="s">
        <v>16</v>
      </c>
    </row>
    <row r="357" spans="1:16" ht="18" x14ac:dyDescent="0.35">
      <c r="A357" s="28">
        <f>WEEKNUM(Table1[[#This Row],[Date]])</f>
        <v>5</v>
      </c>
      <c r="B357" s="35" t="s">
        <v>24</v>
      </c>
      <c r="C357" s="31">
        <v>46052</v>
      </c>
      <c r="D357" s="27" t="s">
        <v>11</v>
      </c>
      <c r="E357" s="53" t="s">
        <v>18</v>
      </c>
      <c r="F357" s="235" t="s">
        <v>635</v>
      </c>
      <c r="G357" s="50" t="s">
        <v>8</v>
      </c>
      <c r="H357" s="236">
        <v>6</v>
      </c>
      <c r="I357" s="236">
        <v>0</v>
      </c>
      <c r="J357" s="50"/>
      <c r="K357" s="28" t="s">
        <v>934</v>
      </c>
      <c r="L357" s="28" t="s">
        <v>934</v>
      </c>
      <c r="M357" s="28"/>
      <c r="N357" s="28" t="s">
        <v>934</v>
      </c>
      <c r="O357" s="22"/>
      <c r="P357" s="29" t="s">
        <v>171</v>
      </c>
    </row>
    <row r="358" spans="1:16" ht="18" x14ac:dyDescent="0.35">
      <c r="A358" s="28">
        <f>WEEKNUM(Table1[[#This Row],[Date]])</f>
        <v>5</v>
      </c>
      <c r="B358" s="35" t="s">
        <v>24</v>
      </c>
      <c r="C358" s="31">
        <v>46052</v>
      </c>
      <c r="D358" s="27" t="s">
        <v>11</v>
      </c>
      <c r="E358" s="53" t="s">
        <v>18</v>
      </c>
      <c r="F358" s="235" t="s">
        <v>638</v>
      </c>
      <c r="G358" s="50" t="s">
        <v>27</v>
      </c>
      <c r="H358" s="236">
        <v>60</v>
      </c>
      <c r="I358" s="236">
        <v>0</v>
      </c>
      <c r="J358" s="50"/>
      <c r="K358" s="28" t="s">
        <v>934</v>
      </c>
      <c r="L358" s="28" t="s">
        <v>934</v>
      </c>
      <c r="M358" s="28"/>
      <c r="N358" s="28" t="s">
        <v>934</v>
      </c>
      <c r="O358" s="22"/>
      <c r="P358" s="29" t="s">
        <v>171</v>
      </c>
    </row>
    <row r="359" spans="1:16" ht="18" x14ac:dyDescent="0.35">
      <c r="A359" s="28">
        <f>WEEKNUM(Table1[[#This Row],[Date]])</f>
        <v>5</v>
      </c>
      <c r="B359" s="35" t="s">
        <v>24</v>
      </c>
      <c r="C359" s="31">
        <v>46052</v>
      </c>
      <c r="D359" s="27" t="s">
        <v>11</v>
      </c>
      <c r="E359" s="53" t="s">
        <v>18</v>
      </c>
      <c r="F359" s="235" t="s">
        <v>639</v>
      </c>
      <c r="G359" s="50" t="s">
        <v>27</v>
      </c>
      <c r="H359" s="236">
        <v>45</v>
      </c>
      <c r="I359" s="236">
        <v>0</v>
      </c>
      <c r="J359" s="50"/>
      <c r="K359" s="28" t="s">
        <v>934</v>
      </c>
      <c r="L359" s="28" t="s">
        <v>934</v>
      </c>
      <c r="M359" s="28"/>
      <c r="N359" s="28" t="s">
        <v>934</v>
      </c>
      <c r="O359" s="22"/>
      <c r="P359" s="29" t="s">
        <v>171</v>
      </c>
    </row>
    <row r="360" spans="1:16" ht="21" x14ac:dyDescent="0.35">
      <c r="A360" s="28">
        <f>WEEKNUM(Table1[[#This Row],[Date]])</f>
        <v>5</v>
      </c>
      <c r="B360" s="35" t="s">
        <v>24</v>
      </c>
      <c r="C360" s="31">
        <v>46052</v>
      </c>
      <c r="D360" s="27" t="s">
        <v>11</v>
      </c>
      <c r="E360" s="53" t="s">
        <v>25</v>
      </c>
      <c r="F360" s="235" t="s">
        <v>640</v>
      </c>
      <c r="G360" s="50" t="s">
        <v>8</v>
      </c>
      <c r="H360" s="236">
        <v>7</v>
      </c>
      <c r="I360" s="24">
        <v>1</v>
      </c>
      <c r="J360" s="50" t="s">
        <v>9</v>
      </c>
      <c r="K360" s="28" t="s">
        <v>61</v>
      </c>
      <c r="L360" s="28" t="s">
        <v>19</v>
      </c>
      <c r="M360" s="28">
        <v>251728</v>
      </c>
      <c r="N360" s="28" t="s">
        <v>166</v>
      </c>
      <c r="O360" s="22" t="s">
        <v>641</v>
      </c>
      <c r="P360" s="50" t="s">
        <v>16</v>
      </c>
    </row>
    <row r="361" spans="1:16" ht="18" x14ac:dyDescent="0.35">
      <c r="A361" s="28">
        <f>WEEKNUM(Table1[[#This Row],[Date]])</f>
        <v>5</v>
      </c>
      <c r="B361" s="35" t="s">
        <v>24</v>
      </c>
      <c r="C361" s="31">
        <v>46052</v>
      </c>
      <c r="D361" s="27" t="s">
        <v>11</v>
      </c>
      <c r="E361" s="53" t="s">
        <v>25</v>
      </c>
      <c r="F361" s="235" t="s">
        <v>642</v>
      </c>
      <c r="G361" s="50" t="s">
        <v>27</v>
      </c>
      <c r="H361" s="236">
        <v>12</v>
      </c>
      <c r="I361" s="236">
        <v>0</v>
      </c>
      <c r="J361" s="50"/>
      <c r="K361" s="28" t="s">
        <v>934</v>
      </c>
      <c r="L361" s="28" t="s">
        <v>934</v>
      </c>
      <c r="M361" s="28"/>
      <c r="N361" s="28" t="s">
        <v>934</v>
      </c>
      <c r="O361" s="22"/>
      <c r="P361" s="29" t="s">
        <v>171</v>
      </c>
    </row>
    <row r="362" spans="1:16" ht="18" x14ac:dyDescent="0.35">
      <c r="A362" s="28">
        <f>WEEKNUM(Table1[[#This Row],[Date]])</f>
        <v>5</v>
      </c>
      <c r="B362" s="35" t="s">
        <v>24</v>
      </c>
      <c r="C362" s="31">
        <v>46052</v>
      </c>
      <c r="D362" s="27" t="s">
        <v>11</v>
      </c>
      <c r="E362" s="53" t="s">
        <v>25</v>
      </c>
      <c r="F362" s="235" t="s">
        <v>643</v>
      </c>
      <c r="G362" s="50" t="s">
        <v>27</v>
      </c>
      <c r="H362" s="236">
        <v>30</v>
      </c>
      <c r="I362" s="236">
        <v>0</v>
      </c>
      <c r="J362" s="50"/>
      <c r="K362" s="28" t="s">
        <v>934</v>
      </c>
      <c r="L362" s="28" t="s">
        <v>934</v>
      </c>
      <c r="M362" s="28"/>
      <c r="N362" s="28" t="s">
        <v>934</v>
      </c>
      <c r="O362" s="22"/>
      <c r="P362" s="29" t="s">
        <v>171</v>
      </c>
    </row>
    <row r="363" spans="1:16" ht="18" x14ac:dyDescent="0.35">
      <c r="A363" s="28">
        <f>WEEKNUM(Table1[[#This Row],[Date]])</f>
        <v>5</v>
      </c>
      <c r="B363" s="35" t="s">
        <v>24</v>
      </c>
      <c r="C363" s="31">
        <v>46052</v>
      </c>
      <c r="D363" s="27" t="s">
        <v>11</v>
      </c>
      <c r="E363" s="53" t="s">
        <v>25</v>
      </c>
      <c r="F363" s="235" t="s">
        <v>644</v>
      </c>
      <c r="G363" s="50" t="s">
        <v>27</v>
      </c>
      <c r="H363" s="236">
        <v>3</v>
      </c>
      <c r="I363" s="236">
        <v>0</v>
      </c>
      <c r="J363" s="50"/>
      <c r="K363" s="28" t="s">
        <v>934</v>
      </c>
      <c r="L363" s="28" t="s">
        <v>934</v>
      </c>
      <c r="M363" s="28"/>
      <c r="N363" s="28" t="s">
        <v>934</v>
      </c>
      <c r="O363" s="22"/>
      <c r="P363" s="29" t="s">
        <v>171</v>
      </c>
    </row>
    <row r="364" spans="1:16" ht="18" x14ac:dyDescent="0.35">
      <c r="A364" s="28">
        <f>WEEKNUM(Table1[[#This Row],[Date]])</f>
        <v>5</v>
      </c>
      <c r="B364" s="35" t="s">
        <v>24</v>
      </c>
      <c r="C364" s="31">
        <v>46052</v>
      </c>
      <c r="D364" s="27" t="s">
        <v>11</v>
      </c>
      <c r="E364" s="53" t="s">
        <v>25</v>
      </c>
      <c r="F364" s="235" t="s">
        <v>645</v>
      </c>
      <c r="G364" s="50" t="s">
        <v>8</v>
      </c>
      <c r="H364" s="236">
        <v>5</v>
      </c>
      <c r="I364" s="236">
        <v>0</v>
      </c>
      <c r="J364" s="50"/>
      <c r="K364" s="28" t="s">
        <v>934</v>
      </c>
      <c r="L364" s="28" t="s">
        <v>934</v>
      </c>
      <c r="M364" s="28"/>
      <c r="N364" s="28" t="s">
        <v>934</v>
      </c>
      <c r="O364" s="22"/>
      <c r="P364" s="29" t="s">
        <v>171</v>
      </c>
    </row>
    <row r="365" spans="1:16" ht="18" x14ac:dyDescent="0.35">
      <c r="A365" s="28">
        <f>WEEKNUM(Table1[[#This Row],[Date]])</f>
        <v>6</v>
      </c>
      <c r="B365" s="35" t="s">
        <v>574</v>
      </c>
      <c r="C365" s="31">
        <v>46055</v>
      </c>
      <c r="D365" s="27" t="s">
        <v>11</v>
      </c>
      <c r="E365" s="53" t="s">
        <v>25</v>
      </c>
      <c r="F365" s="235" t="s">
        <v>646</v>
      </c>
      <c r="G365" s="50" t="s">
        <v>27</v>
      </c>
      <c r="H365" s="236">
        <v>2</v>
      </c>
      <c r="I365" s="236">
        <v>0</v>
      </c>
      <c r="J365" s="50"/>
      <c r="K365" s="28" t="s">
        <v>934</v>
      </c>
      <c r="L365" s="28" t="s">
        <v>934</v>
      </c>
      <c r="M365" s="28"/>
      <c r="N365" s="28" t="s">
        <v>934</v>
      </c>
      <c r="O365" s="22"/>
      <c r="P365" s="29" t="s">
        <v>171</v>
      </c>
    </row>
    <row r="366" spans="1:16" ht="18" x14ac:dyDescent="0.35">
      <c r="A366" s="28">
        <f>WEEKNUM(Table1[[#This Row],[Date]])</f>
        <v>6</v>
      </c>
      <c r="B366" s="35" t="s">
        <v>574</v>
      </c>
      <c r="C366" s="31">
        <v>46055</v>
      </c>
      <c r="D366" s="27" t="s">
        <v>11</v>
      </c>
      <c r="E366" s="53" t="s">
        <v>25</v>
      </c>
      <c r="F366" s="235" t="s">
        <v>644</v>
      </c>
      <c r="G366" s="50" t="s">
        <v>27</v>
      </c>
      <c r="H366" s="236">
        <v>3</v>
      </c>
      <c r="I366" s="236">
        <v>0</v>
      </c>
      <c r="J366" s="50"/>
      <c r="K366" s="28" t="s">
        <v>934</v>
      </c>
      <c r="L366" s="28" t="s">
        <v>934</v>
      </c>
      <c r="M366" s="28"/>
      <c r="N366" s="28" t="s">
        <v>934</v>
      </c>
      <c r="O366" s="22"/>
      <c r="P366" s="29" t="s">
        <v>171</v>
      </c>
    </row>
    <row r="367" spans="1:16" ht="18" x14ac:dyDescent="0.35">
      <c r="A367" s="28">
        <f>WEEKNUM(Table1[[#This Row],[Date]])</f>
        <v>6</v>
      </c>
      <c r="B367" s="35" t="s">
        <v>574</v>
      </c>
      <c r="C367" s="31">
        <v>46055</v>
      </c>
      <c r="D367" s="27" t="s">
        <v>11</v>
      </c>
      <c r="E367" s="53" t="s">
        <v>25</v>
      </c>
      <c r="F367" s="235" t="s">
        <v>569</v>
      </c>
      <c r="G367" s="50" t="s">
        <v>27</v>
      </c>
      <c r="H367" s="236">
        <v>12</v>
      </c>
      <c r="I367" s="236">
        <v>0</v>
      </c>
      <c r="J367" s="50"/>
      <c r="K367" s="28" t="s">
        <v>934</v>
      </c>
      <c r="L367" s="28" t="s">
        <v>934</v>
      </c>
      <c r="M367" s="28"/>
      <c r="N367" s="28" t="s">
        <v>934</v>
      </c>
      <c r="O367" s="22"/>
      <c r="P367" s="29" t="s">
        <v>171</v>
      </c>
    </row>
    <row r="368" spans="1:16" ht="18" x14ac:dyDescent="0.35">
      <c r="A368" s="28">
        <f>WEEKNUM(Table1[[#This Row],[Date]])</f>
        <v>6</v>
      </c>
      <c r="B368" s="35" t="s">
        <v>574</v>
      </c>
      <c r="C368" s="31">
        <v>46055</v>
      </c>
      <c r="D368" s="27" t="s">
        <v>11</v>
      </c>
      <c r="E368" s="53" t="s">
        <v>25</v>
      </c>
      <c r="F368" s="235" t="s">
        <v>642</v>
      </c>
      <c r="G368" s="50" t="s">
        <v>27</v>
      </c>
      <c r="H368" s="236">
        <v>9</v>
      </c>
      <c r="I368" s="236">
        <v>0</v>
      </c>
      <c r="J368" s="50"/>
      <c r="K368" s="28" t="s">
        <v>934</v>
      </c>
      <c r="L368" s="28" t="s">
        <v>934</v>
      </c>
      <c r="M368" s="28"/>
      <c r="N368" s="28" t="s">
        <v>934</v>
      </c>
      <c r="O368" s="22"/>
      <c r="P368" s="29" t="s">
        <v>171</v>
      </c>
    </row>
    <row r="369" spans="1:16" ht="18" x14ac:dyDescent="0.35">
      <c r="A369" s="28">
        <f>WEEKNUM(Table1[[#This Row],[Date]])</f>
        <v>6</v>
      </c>
      <c r="B369" s="35" t="s">
        <v>574</v>
      </c>
      <c r="C369" s="31">
        <v>46055</v>
      </c>
      <c r="D369" s="27" t="s">
        <v>11</v>
      </c>
      <c r="E369" s="53" t="s">
        <v>25</v>
      </c>
      <c r="F369" s="235" t="s">
        <v>647</v>
      </c>
      <c r="G369" s="50" t="s">
        <v>27</v>
      </c>
      <c r="H369" s="236">
        <v>42</v>
      </c>
      <c r="I369" s="236">
        <v>0</v>
      </c>
      <c r="J369" s="50"/>
      <c r="K369" s="28" t="s">
        <v>934</v>
      </c>
      <c r="L369" s="28" t="s">
        <v>934</v>
      </c>
      <c r="M369" s="28"/>
      <c r="N369" s="28" t="s">
        <v>934</v>
      </c>
      <c r="O369" s="22"/>
      <c r="P369" s="29" t="s">
        <v>171</v>
      </c>
    </row>
    <row r="370" spans="1:16" ht="18" x14ac:dyDescent="0.35">
      <c r="A370" s="28">
        <f>WEEKNUM(Table1[[#This Row],[Date]])</f>
        <v>6</v>
      </c>
      <c r="B370" s="35" t="s">
        <v>574</v>
      </c>
      <c r="C370" s="31">
        <v>46055</v>
      </c>
      <c r="D370" s="27" t="s">
        <v>11</v>
      </c>
      <c r="E370" s="53" t="s">
        <v>25</v>
      </c>
      <c r="F370" s="235" t="s">
        <v>648</v>
      </c>
      <c r="G370" s="50" t="s">
        <v>27</v>
      </c>
      <c r="H370" s="236">
        <v>14</v>
      </c>
      <c r="I370" s="236">
        <v>0</v>
      </c>
      <c r="J370" s="50"/>
      <c r="K370" s="28" t="s">
        <v>934</v>
      </c>
      <c r="L370" s="28" t="s">
        <v>934</v>
      </c>
      <c r="M370" s="28"/>
      <c r="N370" s="28" t="s">
        <v>934</v>
      </c>
      <c r="O370" s="22"/>
      <c r="P370" s="29" t="s">
        <v>171</v>
      </c>
    </row>
    <row r="371" spans="1:16" ht="18" x14ac:dyDescent="0.35">
      <c r="A371" s="28">
        <f>WEEKNUM(Table1[[#This Row],[Date]])</f>
        <v>6</v>
      </c>
      <c r="B371" s="35" t="s">
        <v>574</v>
      </c>
      <c r="C371" s="31">
        <v>46055</v>
      </c>
      <c r="D371" s="27" t="s">
        <v>11</v>
      </c>
      <c r="E371" s="53" t="s">
        <v>25</v>
      </c>
      <c r="F371" s="235" t="s">
        <v>649</v>
      </c>
      <c r="G371" s="50" t="s">
        <v>27</v>
      </c>
      <c r="H371" s="236">
        <v>21</v>
      </c>
      <c r="I371" s="236">
        <v>0</v>
      </c>
      <c r="J371" s="50"/>
      <c r="K371" s="28" t="s">
        <v>934</v>
      </c>
      <c r="L371" s="28" t="s">
        <v>934</v>
      </c>
      <c r="M371" s="28"/>
      <c r="N371" s="28" t="s">
        <v>934</v>
      </c>
      <c r="O371" s="22"/>
      <c r="P371" s="29" t="s">
        <v>171</v>
      </c>
    </row>
    <row r="372" spans="1:16" ht="18" x14ac:dyDescent="0.35">
      <c r="A372" s="28">
        <f>WEEKNUM(Table1[[#This Row],[Date]])</f>
        <v>6</v>
      </c>
      <c r="B372" s="35" t="s">
        <v>574</v>
      </c>
      <c r="C372" s="31">
        <v>46055</v>
      </c>
      <c r="D372" s="27" t="s">
        <v>11</v>
      </c>
      <c r="E372" s="53" t="s">
        <v>25</v>
      </c>
      <c r="F372" s="235" t="s">
        <v>650</v>
      </c>
      <c r="G372" s="50" t="s">
        <v>8</v>
      </c>
      <c r="H372" s="236">
        <v>6</v>
      </c>
      <c r="I372" s="236">
        <v>0</v>
      </c>
      <c r="J372" s="50"/>
      <c r="K372" s="28" t="s">
        <v>934</v>
      </c>
      <c r="L372" s="28" t="s">
        <v>934</v>
      </c>
      <c r="M372" s="28"/>
      <c r="N372" s="28" t="s">
        <v>934</v>
      </c>
      <c r="O372" s="22"/>
      <c r="P372" s="29" t="s">
        <v>171</v>
      </c>
    </row>
    <row r="373" spans="1:16" ht="36" x14ac:dyDescent="0.35">
      <c r="A373" s="28">
        <f>WEEKNUM(Table1[[#This Row],[Date]])</f>
        <v>6</v>
      </c>
      <c r="B373" s="35" t="s">
        <v>574</v>
      </c>
      <c r="C373" s="31">
        <v>46055</v>
      </c>
      <c r="D373" s="27" t="s">
        <v>11</v>
      </c>
      <c r="E373" s="53" t="s">
        <v>25</v>
      </c>
      <c r="F373" s="235" t="s">
        <v>651</v>
      </c>
      <c r="G373" s="50" t="s">
        <v>27</v>
      </c>
      <c r="H373" s="236">
        <v>24</v>
      </c>
      <c r="I373" s="236">
        <v>1</v>
      </c>
      <c r="J373" s="50" t="s">
        <v>9</v>
      </c>
      <c r="K373" s="28" t="s">
        <v>347</v>
      </c>
      <c r="L373" s="28" t="s">
        <v>13</v>
      </c>
      <c r="M373" s="28">
        <v>251729</v>
      </c>
      <c r="N373" s="28" t="s">
        <v>166</v>
      </c>
      <c r="O373" s="50" t="s">
        <v>571</v>
      </c>
      <c r="P373" s="29" t="s">
        <v>11</v>
      </c>
    </row>
    <row r="374" spans="1:16" ht="18" x14ac:dyDescent="0.35">
      <c r="A374" s="28">
        <f>WEEKNUM(Table1[[#This Row],[Date]])</f>
        <v>6</v>
      </c>
      <c r="B374" s="35" t="s">
        <v>574</v>
      </c>
      <c r="C374" s="31">
        <v>46055</v>
      </c>
      <c r="D374" s="27" t="s">
        <v>11</v>
      </c>
      <c r="E374" s="53" t="s">
        <v>25</v>
      </c>
      <c r="F374" s="235" t="s">
        <v>652</v>
      </c>
      <c r="G374" s="50" t="s">
        <v>8</v>
      </c>
      <c r="H374" s="236">
        <v>3</v>
      </c>
      <c r="I374" s="236">
        <v>0</v>
      </c>
      <c r="J374" s="50"/>
      <c r="K374" s="28" t="s">
        <v>934</v>
      </c>
      <c r="L374" s="28" t="s">
        <v>934</v>
      </c>
      <c r="M374" s="28"/>
      <c r="N374" s="28" t="s">
        <v>934</v>
      </c>
      <c r="O374" s="22"/>
      <c r="P374" s="29" t="s">
        <v>171</v>
      </c>
    </row>
    <row r="375" spans="1:16" ht="18" x14ac:dyDescent="0.35">
      <c r="A375" s="28">
        <f>WEEKNUM(Table1[[#This Row],[Date]])</f>
        <v>6</v>
      </c>
      <c r="B375" s="35" t="s">
        <v>574</v>
      </c>
      <c r="C375" s="31">
        <v>46055</v>
      </c>
      <c r="D375" s="27" t="s">
        <v>11</v>
      </c>
      <c r="E375" s="53" t="s">
        <v>18</v>
      </c>
      <c r="F375" s="235" t="s">
        <v>314</v>
      </c>
      <c r="G375" s="50" t="s">
        <v>8</v>
      </c>
      <c r="H375" s="236">
        <v>2</v>
      </c>
      <c r="I375" s="236">
        <v>0</v>
      </c>
      <c r="J375" s="50"/>
      <c r="K375" s="28" t="s">
        <v>934</v>
      </c>
      <c r="L375" s="28" t="s">
        <v>934</v>
      </c>
      <c r="M375" s="28"/>
      <c r="N375" s="28" t="s">
        <v>934</v>
      </c>
      <c r="O375" s="22"/>
      <c r="P375" s="29" t="s">
        <v>171</v>
      </c>
    </row>
    <row r="376" spans="1:16" ht="18" x14ac:dyDescent="0.35">
      <c r="A376" s="28">
        <f>WEEKNUM(Table1[[#This Row],[Date]])</f>
        <v>6</v>
      </c>
      <c r="B376" s="35" t="s">
        <v>574</v>
      </c>
      <c r="C376" s="31">
        <v>46055</v>
      </c>
      <c r="D376" s="27" t="s">
        <v>11</v>
      </c>
      <c r="E376" s="53" t="s">
        <v>18</v>
      </c>
      <c r="F376" s="235" t="s">
        <v>653</v>
      </c>
      <c r="G376" s="50" t="s">
        <v>8</v>
      </c>
      <c r="H376" s="236">
        <v>4</v>
      </c>
      <c r="I376" s="236">
        <v>0</v>
      </c>
      <c r="J376" s="50"/>
      <c r="K376" s="28" t="s">
        <v>934</v>
      </c>
      <c r="L376" s="28" t="s">
        <v>934</v>
      </c>
      <c r="M376" s="28"/>
      <c r="N376" s="28" t="s">
        <v>934</v>
      </c>
      <c r="O376" s="22"/>
      <c r="P376" s="29" t="s">
        <v>171</v>
      </c>
    </row>
    <row r="377" spans="1:16" ht="18" x14ac:dyDescent="0.35">
      <c r="A377" s="28">
        <f>WEEKNUM(Table1[[#This Row],[Date]])</f>
        <v>6</v>
      </c>
      <c r="B377" s="35" t="s">
        <v>574</v>
      </c>
      <c r="C377" s="31">
        <v>46055</v>
      </c>
      <c r="D377" s="27" t="s">
        <v>11</v>
      </c>
      <c r="E377" s="53" t="s">
        <v>18</v>
      </c>
      <c r="F377" s="235" t="s">
        <v>654</v>
      </c>
      <c r="G377" s="50" t="s">
        <v>27</v>
      </c>
      <c r="H377" s="236">
        <v>3</v>
      </c>
      <c r="I377" s="236">
        <v>0</v>
      </c>
      <c r="J377" s="50"/>
      <c r="K377" s="28" t="s">
        <v>934</v>
      </c>
      <c r="L377" s="28" t="s">
        <v>934</v>
      </c>
      <c r="M377" s="28"/>
      <c r="N377" s="28" t="s">
        <v>934</v>
      </c>
      <c r="O377" s="22"/>
      <c r="P377" s="29" t="s">
        <v>171</v>
      </c>
    </row>
    <row r="378" spans="1:16" ht="36" x14ac:dyDescent="0.35">
      <c r="A378" s="28">
        <f>WEEKNUM(Table1[[#This Row],[Date]])</f>
        <v>6</v>
      </c>
      <c r="B378" s="35" t="s">
        <v>574</v>
      </c>
      <c r="C378" s="31">
        <v>46055</v>
      </c>
      <c r="D378" s="27" t="s">
        <v>11</v>
      </c>
      <c r="E378" s="53" t="s">
        <v>18</v>
      </c>
      <c r="F378" s="235" t="s">
        <v>655</v>
      </c>
      <c r="G378" s="50" t="s">
        <v>8</v>
      </c>
      <c r="H378" s="236">
        <v>1</v>
      </c>
      <c r="I378" s="236">
        <v>1</v>
      </c>
      <c r="J378" s="50" t="s">
        <v>12</v>
      </c>
      <c r="K378" s="28" t="s">
        <v>347</v>
      </c>
      <c r="L378" s="28" t="s">
        <v>13</v>
      </c>
      <c r="M378" s="28">
        <v>251730</v>
      </c>
      <c r="N378" s="28" t="s">
        <v>166</v>
      </c>
      <c r="O378" s="22" t="s">
        <v>656</v>
      </c>
      <c r="P378" s="50" t="s">
        <v>11</v>
      </c>
    </row>
    <row r="379" spans="1:16" ht="18" x14ac:dyDescent="0.35">
      <c r="A379" s="28">
        <f>WEEKNUM(Table1[[#This Row],[Date]])</f>
        <v>6</v>
      </c>
      <c r="B379" s="35" t="s">
        <v>574</v>
      </c>
      <c r="C379" s="31">
        <v>46055</v>
      </c>
      <c r="D379" s="27" t="s">
        <v>11</v>
      </c>
      <c r="E379" s="53" t="s">
        <v>18</v>
      </c>
      <c r="F379" s="235" t="s">
        <v>657</v>
      </c>
      <c r="G379" s="50" t="s">
        <v>8</v>
      </c>
      <c r="H379" s="236">
        <v>2</v>
      </c>
      <c r="I379" s="236">
        <v>0</v>
      </c>
      <c r="J379" s="50"/>
      <c r="K379" s="28" t="s">
        <v>934</v>
      </c>
      <c r="L379" s="28" t="s">
        <v>934</v>
      </c>
      <c r="M379" s="28"/>
      <c r="N379" s="28" t="s">
        <v>934</v>
      </c>
      <c r="O379" s="22"/>
      <c r="P379" s="29" t="s">
        <v>171</v>
      </c>
    </row>
    <row r="380" spans="1:16" ht="18" x14ac:dyDescent="0.35">
      <c r="A380" s="28">
        <f>WEEKNUM(Table1[[#This Row],[Date]])</f>
        <v>6</v>
      </c>
      <c r="B380" s="35" t="s">
        <v>574</v>
      </c>
      <c r="C380" s="31">
        <v>46055</v>
      </c>
      <c r="D380" s="27" t="s">
        <v>11</v>
      </c>
      <c r="E380" s="53" t="s">
        <v>18</v>
      </c>
      <c r="F380" s="235" t="s">
        <v>658</v>
      </c>
      <c r="G380" s="50" t="s">
        <v>8</v>
      </c>
      <c r="H380" s="236">
        <v>7</v>
      </c>
      <c r="I380" s="236">
        <v>1</v>
      </c>
      <c r="J380" s="50" t="s">
        <v>157</v>
      </c>
      <c r="K380" s="28" t="s">
        <v>350</v>
      </c>
      <c r="L380" s="28" t="s">
        <v>36</v>
      </c>
      <c r="M380" s="28">
        <v>251731</v>
      </c>
      <c r="N380" s="28" t="s">
        <v>169</v>
      </c>
      <c r="O380" s="22" t="s">
        <v>659</v>
      </c>
      <c r="P380" s="50" t="s">
        <v>660</v>
      </c>
    </row>
    <row r="381" spans="1:16" ht="18" x14ac:dyDescent="0.35">
      <c r="A381" s="28">
        <f>WEEKNUM(Table1[[#This Row],[Date]])</f>
        <v>6</v>
      </c>
      <c r="B381" s="35" t="s">
        <v>574</v>
      </c>
      <c r="C381" s="31">
        <v>46055</v>
      </c>
      <c r="D381" s="27" t="s">
        <v>11</v>
      </c>
      <c r="E381" s="53" t="s">
        <v>18</v>
      </c>
      <c r="F381" s="235" t="s">
        <v>154</v>
      </c>
      <c r="G381" s="50" t="s">
        <v>8</v>
      </c>
      <c r="H381" s="236">
        <v>6</v>
      </c>
      <c r="I381" s="236">
        <v>0</v>
      </c>
      <c r="J381" s="50"/>
      <c r="K381" s="28" t="s">
        <v>934</v>
      </c>
      <c r="L381" s="28" t="s">
        <v>934</v>
      </c>
      <c r="M381" s="28"/>
      <c r="N381" s="28" t="s">
        <v>934</v>
      </c>
      <c r="O381" s="22"/>
      <c r="P381" s="29" t="s">
        <v>171</v>
      </c>
    </row>
    <row r="382" spans="1:16" ht="18" x14ac:dyDescent="0.35">
      <c r="A382" s="28">
        <f>WEEKNUM(Table1[[#This Row],[Date]])</f>
        <v>6</v>
      </c>
      <c r="B382" s="35" t="s">
        <v>574</v>
      </c>
      <c r="C382" s="31">
        <v>46055</v>
      </c>
      <c r="D382" s="27" t="s">
        <v>11</v>
      </c>
      <c r="E382" s="53" t="s">
        <v>18</v>
      </c>
      <c r="F382" s="235" t="s">
        <v>661</v>
      </c>
      <c r="G382" s="50" t="s">
        <v>27</v>
      </c>
      <c r="H382" s="236">
        <v>12</v>
      </c>
      <c r="I382" s="236">
        <v>1</v>
      </c>
      <c r="J382" s="50" t="s">
        <v>12</v>
      </c>
      <c r="K382" s="28" t="s">
        <v>348</v>
      </c>
      <c r="L382" s="28" t="s">
        <v>19</v>
      </c>
      <c r="M382" s="28">
        <v>251732</v>
      </c>
      <c r="N382" s="28" t="s">
        <v>166</v>
      </c>
      <c r="O382" s="22" t="s">
        <v>662</v>
      </c>
      <c r="P382" s="50" t="s">
        <v>11</v>
      </c>
    </row>
    <row r="383" spans="1:16" ht="18" x14ac:dyDescent="0.35">
      <c r="A383" s="28">
        <f>WEEKNUM(Table1[[#This Row],[Date]])</f>
        <v>6</v>
      </c>
      <c r="B383" s="35" t="s">
        <v>574</v>
      </c>
      <c r="C383" s="31">
        <v>46055</v>
      </c>
      <c r="D383" s="27" t="s">
        <v>11</v>
      </c>
      <c r="E383" s="53" t="s">
        <v>18</v>
      </c>
      <c r="F383" s="235" t="s">
        <v>663</v>
      </c>
      <c r="G383" s="50" t="s">
        <v>27</v>
      </c>
      <c r="H383" s="236">
        <v>40</v>
      </c>
      <c r="I383" s="236">
        <v>0</v>
      </c>
      <c r="J383" s="50"/>
      <c r="K383" s="28" t="s">
        <v>934</v>
      </c>
      <c r="L383" s="28" t="s">
        <v>934</v>
      </c>
      <c r="M383" s="28"/>
      <c r="N383" s="28" t="s">
        <v>934</v>
      </c>
      <c r="O383" s="22"/>
      <c r="P383" s="29" t="s">
        <v>171</v>
      </c>
    </row>
    <row r="384" spans="1:16" ht="18.600000000000001" thickBot="1" x14ac:dyDescent="0.4">
      <c r="A384" s="28">
        <f>WEEKNUM(Table1[[#This Row],[Date]])</f>
        <v>6</v>
      </c>
      <c r="B384" s="35" t="s">
        <v>574</v>
      </c>
      <c r="C384" s="31">
        <v>46055</v>
      </c>
      <c r="D384" s="27" t="s">
        <v>286</v>
      </c>
      <c r="E384" s="53" t="s">
        <v>38</v>
      </c>
      <c r="F384" s="235" t="s">
        <v>514</v>
      </c>
      <c r="G384" s="50" t="s">
        <v>27</v>
      </c>
      <c r="H384" s="236">
        <v>25</v>
      </c>
      <c r="I384" s="236">
        <v>1</v>
      </c>
      <c r="J384" s="50" t="s">
        <v>12</v>
      </c>
      <c r="K384" s="28" t="s">
        <v>353</v>
      </c>
      <c r="L384" s="28" t="s">
        <v>344</v>
      </c>
      <c r="M384" s="28">
        <v>202302660</v>
      </c>
      <c r="N384" s="28" t="s">
        <v>166</v>
      </c>
      <c r="O384" s="22" t="s">
        <v>664</v>
      </c>
      <c r="P384" s="50" t="s">
        <v>14</v>
      </c>
    </row>
    <row r="385" spans="1:16" ht="18.600000000000001" thickTop="1" x14ac:dyDescent="0.35">
      <c r="A385" s="28">
        <f>WEEKNUM(Table1[[#This Row],[Date]])</f>
        <v>6</v>
      </c>
      <c r="B385" s="35" t="s">
        <v>574</v>
      </c>
      <c r="C385" s="31">
        <v>46056</v>
      </c>
      <c r="D385" s="27" t="s">
        <v>11</v>
      </c>
      <c r="E385" s="239" t="s">
        <v>25</v>
      </c>
      <c r="F385" s="240" t="s">
        <v>665</v>
      </c>
      <c r="G385" s="234" t="s">
        <v>27</v>
      </c>
      <c r="H385" s="241">
        <v>6</v>
      </c>
      <c r="I385" s="241">
        <v>0</v>
      </c>
      <c r="J385" s="234"/>
      <c r="K385" s="28" t="s">
        <v>934</v>
      </c>
      <c r="L385" s="28" t="s">
        <v>934</v>
      </c>
      <c r="M385" s="28"/>
      <c r="N385" s="28" t="s">
        <v>934</v>
      </c>
      <c r="O385" s="22"/>
      <c r="P385" s="29" t="s">
        <v>171</v>
      </c>
    </row>
    <row r="386" spans="1:16" ht="18" x14ac:dyDescent="0.35">
      <c r="A386" s="28">
        <f>WEEKNUM(Table1[[#This Row],[Date]])</f>
        <v>6</v>
      </c>
      <c r="B386" s="35" t="s">
        <v>574</v>
      </c>
      <c r="C386" s="31">
        <v>46056</v>
      </c>
      <c r="D386" s="27" t="s">
        <v>11</v>
      </c>
      <c r="E386" s="53" t="s">
        <v>25</v>
      </c>
      <c r="F386" s="235" t="s">
        <v>603</v>
      </c>
      <c r="G386" s="50" t="s">
        <v>27</v>
      </c>
      <c r="H386" s="236">
        <v>8</v>
      </c>
      <c r="I386" s="236">
        <v>0</v>
      </c>
      <c r="J386" s="50"/>
      <c r="K386" s="28" t="s">
        <v>934</v>
      </c>
      <c r="L386" s="28" t="s">
        <v>934</v>
      </c>
      <c r="M386" s="28"/>
      <c r="N386" s="28" t="s">
        <v>934</v>
      </c>
      <c r="O386" s="22"/>
      <c r="P386" s="29" t="s">
        <v>171</v>
      </c>
    </row>
    <row r="387" spans="1:16" ht="18" x14ac:dyDescent="0.35">
      <c r="A387" s="28">
        <f>WEEKNUM(Table1[[#This Row],[Date]])</f>
        <v>6</v>
      </c>
      <c r="B387" s="35" t="s">
        <v>574</v>
      </c>
      <c r="C387" s="31">
        <v>46056</v>
      </c>
      <c r="D387" s="27" t="s">
        <v>11</v>
      </c>
      <c r="E387" s="53" t="s">
        <v>25</v>
      </c>
      <c r="F387" s="235" t="s">
        <v>666</v>
      </c>
      <c r="G387" s="50" t="s">
        <v>27</v>
      </c>
      <c r="H387" s="236">
        <v>10</v>
      </c>
      <c r="I387" s="236">
        <v>0</v>
      </c>
      <c r="J387" s="50"/>
      <c r="K387" s="28" t="s">
        <v>934</v>
      </c>
      <c r="L387" s="28" t="s">
        <v>934</v>
      </c>
      <c r="M387" s="28"/>
      <c r="N387" s="28" t="s">
        <v>934</v>
      </c>
      <c r="O387" s="22"/>
      <c r="P387" s="29" t="s">
        <v>171</v>
      </c>
    </row>
    <row r="388" spans="1:16" ht="18" x14ac:dyDescent="0.35">
      <c r="A388" s="28">
        <f>WEEKNUM(Table1[[#This Row],[Date]])</f>
        <v>6</v>
      </c>
      <c r="B388" s="35" t="s">
        <v>574</v>
      </c>
      <c r="C388" s="31">
        <v>46056</v>
      </c>
      <c r="D388" s="27" t="s">
        <v>11</v>
      </c>
      <c r="E388" s="53" t="s">
        <v>25</v>
      </c>
      <c r="F388" s="235" t="s">
        <v>667</v>
      </c>
      <c r="G388" s="50" t="s">
        <v>8</v>
      </c>
      <c r="H388" s="236">
        <v>5</v>
      </c>
      <c r="I388" s="236">
        <v>0</v>
      </c>
      <c r="J388" s="50"/>
      <c r="K388" s="28" t="s">
        <v>934</v>
      </c>
      <c r="L388" s="28" t="s">
        <v>934</v>
      </c>
      <c r="M388" s="28"/>
      <c r="N388" s="28" t="s">
        <v>934</v>
      </c>
      <c r="O388" s="22"/>
      <c r="P388" s="29" t="s">
        <v>171</v>
      </c>
    </row>
    <row r="389" spans="1:16" ht="18" x14ac:dyDescent="0.35">
      <c r="A389" s="28">
        <f>WEEKNUM(Table1[[#This Row],[Date]])</f>
        <v>6</v>
      </c>
      <c r="B389" s="35" t="s">
        <v>574</v>
      </c>
      <c r="C389" s="31">
        <v>46056</v>
      </c>
      <c r="D389" s="27" t="s">
        <v>11</v>
      </c>
      <c r="E389" s="53" t="s">
        <v>25</v>
      </c>
      <c r="F389" s="235" t="s">
        <v>645</v>
      </c>
      <c r="G389" s="50" t="s">
        <v>27</v>
      </c>
      <c r="H389" s="236">
        <v>5</v>
      </c>
      <c r="I389" s="236">
        <v>1</v>
      </c>
      <c r="J389" s="50" t="s">
        <v>12</v>
      </c>
      <c r="K389" s="28" t="s">
        <v>349</v>
      </c>
      <c r="L389" s="28" t="s">
        <v>13</v>
      </c>
      <c r="M389" s="28">
        <v>251733</v>
      </c>
      <c r="N389" s="22" t="s">
        <v>166</v>
      </c>
      <c r="O389" s="22" t="s">
        <v>571</v>
      </c>
      <c r="P389" s="50" t="s">
        <v>11</v>
      </c>
    </row>
    <row r="390" spans="1:16" ht="18" x14ac:dyDescent="0.35">
      <c r="A390" s="28">
        <f>WEEKNUM(Table1[[#This Row],[Date]])</f>
        <v>6</v>
      </c>
      <c r="B390" s="35" t="s">
        <v>574</v>
      </c>
      <c r="C390" s="31">
        <v>46056</v>
      </c>
      <c r="D390" s="27" t="s">
        <v>11</v>
      </c>
      <c r="E390" s="53" t="s">
        <v>25</v>
      </c>
      <c r="F390" s="235" t="s">
        <v>667</v>
      </c>
      <c r="G390" s="50" t="s">
        <v>8</v>
      </c>
      <c r="H390" s="236">
        <v>5</v>
      </c>
      <c r="I390" s="236">
        <v>0</v>
      </c>
      <c r="J390" s="50"/>
      <c r="K390" s="28" t="s">
        <v>934</v>
      </c>
      <c r="L390" s="28" t="s">
        <v>934</v>
      </c>
      <c r="M390" s="28"/>
      <c r="N390" s="28" t="s">
        <v>934</v>
      </c>
      <c r="O390" s="22"/>
      <c r="P390" s="29" t="s">
        <v>171</v>
      </c>
    </row>
    <row r="391" spans="1:16" ht="18" x14ac:dyDescent="0.35">
      <c r="A391" s="28">
        <f>WEEKNUM(Table1[[#This Row],[Date]])</f>
        <v>6</v>
      </c>
      <c r="B391" s="35" t="s">
        <v>574</v>
      </c>
      <c r="C391" s="31">
        <v>46056</v>
      </c>
      <c r="D391" s="27" t="s">
        <v>11</v>
      </c>
      <c r="E391" s="53" t="s">
        <v>25</v>
      </c>
      <c r="F391" s="235" t="s">
        <v>668</v>
      </c>
      <c r="G391" s="50" t="s">
        <v>27</v>
      </c>
      <c r="H391" s="236">
        <v>60</v>
      </c>
      <c r="I391" s="236">
        <v>0</v>
      </c>
      <c r="J391" s="50"/>
      <c r="K391" s="28" t="s">
        <v>934</v>
      </c>
      <c r="L391" s="28" t="s">
        <v>934</v>
      </c>
      <c r="M391" s="28"/>
      <c r="N391" s="28" t="s">
        <v>934</v>
      </c>
      <c r="O391" s="22"/>
      <c r="P391" s="29" t="s">
        <v>171</v>
      </c>
    </row>
    <row r="392" spans="1:16" ht="18" x14ac:dyDescent="0.35">
      <c r="A392" s="28">
        <f>WEEKNUM(Table1[[#This Row],[Date]])</f>
        <v>6</v>
      </c>
      <c r="B392" s="35" t="s">
        <v>574</v>
      </c>
      <c r="C392" s="31">
        <v>46056</v>
      </c>
      <c r="D392" s="27" t="s">
        <v>11</v>
      </c>
      <c r="E392" s="53" t="s">
        <v>25</v>
      </c>
      <c r="F392" s="235" t="s">
        <v>669</v>
      </c>
      <c r="G392" s="50" t="s">
        <v>8</v>
      </c>
      <c r="H392" s="236">
        <v>9</v>
      </c>
      <c r="I392" s="236">
        <v>0</v>
      </c>
      <c r="J392" s="50"/>
      <c r="K392" s="28" t="s">
        <v>934</v>
      </c>
      <c r="L392" s="28" t="s">
        <v>934</v>
      </c>
      <c r="M392" s="28"/>
      <c r="N392" s="28" t="s">
        <v>934</v>
      </c>
      <c r="O392" s="22"/>
      <c r="P392" s="29" t="s">
        <v>171</v>
      </c>
    </row>
    <row r="393" spans="1:16" ht="18" x14ac:dyDescent="0.35">
      <c r="A393" s="28">
        <f>WEEKNUM(Table1[[#This Row],[Date]])</f>
        <v>6</v>
      </c>
      <c r="B393" s="35" t="s">
        <v>574</v>
      </c>
      <c r="C393" s="31">
        <v>46056</v>
      </c>
      <c r="D393" s="27" t="s">
        <v>11</v>
      </c>
      <c r="E393" s="53" t="s">
        <v>25</v>
      </c>
      <c r="F393" s="235" t="s">
        <v>670</v>
      </c>
      <c r="G393" s="50" t="s">
        <v>27</v>
      </c>
      <c r="H393" s="236">
        <v>5</v>
      </c>
      <c r="I393" s="236">
        <v>1</v>
      </c>
      <c r="J393" s="50" t="s">
        <v>12</v>
      </c>
      <c r="K393" s="28" t="s">
        <v>740</v>
      </c>
      <c r="L393" s="28" t="s">
        <v>201</v>
      </c>
      <c r="M393" s="28">
        <v>251734</v>
      </c>
      <c r="N393" s="28" t="s">
        <v>166</v>
      </c>
      <c r="O393" s="22"/>
      <c r="P393" s="50" t="s">
        <v>11</v>
      </c>
    </row>
    <row r="394" spans="1:16" ht="18" x14ac:dyDescent="0.35">
      <c r="A394" s="28">
        <f>WEEKNUM(Table1[[#This Row],[Date]])</f>
        <v>6</v>
      </c>
      <c r="B394" s="35" t="s">
        <v>574</v>
      </c>
      <c r="C394" s="31">
        <v>46056</v>
      </c>
      <c r="D394" s="27" t="s">
        <v>11</v>
      </c>
      <c r="E394" s="53" t="s">
        <v>25</v>
      </c>
      <c r="F394" s="235" t="s">
        <v>567</v>
      </c>
      <c r="G394" s="50" t="s">
        <v>27</v>
      </c>
      <c r="H394" s="236">
        <v>5</v>
      </c>
      <c r="I394" s="236">
        <v>0</v>
      </c>
      <c r="J394" s="50"/>
      <c r="K394" s="28" t="s">
        <v>934</v>
      </c>
      <c r="L394" s="28" t="s">
        <v>934</v>
      </c>
      <c r="M394" s="28"/>
      <c r="N394" s="28" t="s">
        <v>934</v>
      </c>
      <c r="O394" s="22"/>
      <c r="P394" s="29" t="s">
        <v>171</v>
      </c>
    </row>
    <row r="395" spans="1:16" ht="18" x14ac:dyDescent="0.35">
      <c r="A395" s="28">
        <f>WEEKNUM(Table1[[#This Row],[Date]])</f>
        <v>6</v>
      </c>
      <c r="B395" s="35" t="s">
        <v>574</v>
      </c>
      <c r="C395" s="31">
        <v>46056</v>
      </c>
      <c r="D395" s="27" t="s">
        <v>11</v>
      </c>
      <c r="E395" s="53" t="s">
        <v>25</v>
      </c>
      <c r="F395" s="235" t="s">
        <v>671</v>
      </c>
      <c r="G395" s="50" t="s">
        <v>8</v>
      </c>
      <c r="H395" s="236">
        <v>12</v>
      </c>
      <c r="I395" s="236">
        <v>1</v>
      </c>
      <c r="J395" s="50" t="s">
        <v>9</v>
      </c>
      <c r="K395" s="28" t="s">
        <v>349</v>
      </c>
      <c r="L395" s="28" t="s">
        <v>19</v>
      </c>
      <c r="M395" s="28">
        <v>251735</v>
      </c>
      <c r="N395" s="22" t="s">
        <v>166</v>
      </c>
      <c r="O395" s="22" t="s">
        <v>641</v>
      </c>
      <c r="P395" s="50" t="s">
        <v>11</v>
      </c>
    </row>
    <row r="396" spans="1:16" ht="18" x14ac:dyDescent="0.35">
      <c r="A396" s="28">
        <f>WEEKNUM(Table1[[#This Row],[Date]])</f>
        <v>6</v>
      </c>
      <c r="B396" s="35" t="s">
        <v>574</v>
      </c>
      <c r="C396" s="31">
        <v>46056</v>
      </c>
      <c r="D396" s="27" t="s">
        <v>11</v>
      </c>
      <c r="E396" s="53" t="s">
        <v>25</v>
      </c>
      <c r="F396" s="235" t="s">
        <v>671</v>
      </c>
      <c r="G396" s="50" t="s">
        <v>8</v>
      </c>
      <c r="H396" s="236"/>
      <c r="I396" s="236">
        <v>1</v>
      </c>
      <c r="J396" s="50" t="s">
        <v>672</v>
      </c>
      <c r="K396" s="28" t="s">
        <v>349</v>
      </c>
      <c r="L396" s="28" t="s">
        <v>13</v>
      </c>
      <c r="M396" s="28">
        <v>251736</v>
      </c>
      <c r="N396" s="22" t="s">
        <v>166</v>
      </c>
      <c r="O396" s="22"/>
      <c r="P396" s="50" t="s">
        <v>11</v>
      </c>
    </row>
    <row r="397" spans="1:16" ht="18" x14ac:dyDescent="0.35">
      <c r="A397" s="28">
        <f>WEEKNUM(Table1[[#This Row],[Date]])</f>
        <v>6</v>
      </c>
      <c r="B397" s="35" t="s">
        <v>574</v>
      </c>
      <c r="C397" s="31">
        <v>46056</v>
      </c>
      <c r="D397" s="27" t="s">
        <v>11</v>
      </c>
      <c r="E397" s="53" t="s">
        <v>25</v>
      </c>
      <c r="F397" s="235" t="s">
        <v>673</v>
      </c>
      <c r="G397" s="50" t="s">
        <v>8</v>
      </c>
      <c r="H397" s="236">
        <v>9</v>
      </c>
      <c r="I397" s="236">
        <v>0</v>
      </c>
      <c r="J397" s="50"/>
      <c r="K397" s="28" t="s">
        <v>934</v>
      </c>
      <c r="L397" s="28" t="s">
        <v>934</v>
      </c>
      <c r="M397" s="28"/>
      <c r="N397" s="28" t="s">
        <v>934</v>
      </c>
      <c r="O397" s="22"/>
      <c r="P397" s="29" t="s">
        <v>171</v>
      </c>
    </row>
    <row r="398" spans="1:16" ht="18" x14ac:dyDescent="0.35">
      <c r="A398" s="28">
        <f>WEEKNUM(Table1[[#This Row],[Date]])</f>
        <v>6</v>
      </c>
      <c r="B398" s="35" t="s">
        <v>574</v>
      </c>
      <c r="C398" s="31">
        <v>46056</v>
      </c>
      <c r="D398" s="27" t="s">
        <v>11</v>
      </c>
      <c r="E398" s="53" t="s">
        <v>18</v>
      </c>
      <c r="F398" s="235" t="s">
        <v>674</v>
      </c>
      <c r="G398" s="50" t="s">
        <v>27</v>
      </c>
      <c r="H398" s="236">
        <v>6</v>
      </c>
      <c r="I398" s="236">
        <v>0</v>
      </c>
      <c r="J398" s="50"/>
      <c r="K398" s="28" t="s">
        <v>934</v>
      </c>
      <c r="L398" s="28" t="s">
        <v>934</v>
      </c>
      <c r="M398" s="28"/>
      <c r="N398" s="28" t="s">
        <v>934</v>
      </c>
      <c r="O398" s="22"/>
      <c r="P398" s="29" t="s">
        <v>171</v>
      </c>
    </row>
    <row r="399" spans="1:16" ht="18" x14ac:dyDescent="0.35">
      <c r="A399" s="28">
        <f>WEEKNUM(Table1[[#This Row],[Date]])</f>
        <v>6</v>
      </c>
      <c r="B399" s="35" t="s">
        <v>574</v>
      </c>
      <c r="C399" s="31">
        <v>46056</v>
      </c>
      <c r="D399" s="27" t="s">
        <v>11</v>
      </c>
      <c r="E399" s="53" t="s">
        <v>18</v>
      </c>
      <c r="F399" s="235" t="s">
        <v>675</v>
      </c>
      <c r="G399" s="50" t="s">
        <v>27</v>
      </c>
      <c r="H399" s="236">
        <v>15</v>
      </c>
      <c r="I399" s="236">
        <v>0</v>
      </c>
      <c r="J399" s="50"/>
      <c r="K399" s="28" t="s">
        <v>934</v>
      </c>
      <c r="L399" s="28" t="s">
        <v>934</v>
      </c>
      <c r="M399" s="28"/>
      <c r="N399" s="28" t="s">
        <v>934</v>
      </c>
      <c r="O399" s="22"/>
      <c r="P399" s="29" t="s">
        <v>171</v>
      </c>
    </row>
    <row r="400" spans="1:16" ht="18" x14ac:dyDescent="0.35">
      <c r="A400" s="28">
        <f>WEEKNUM(Table1[[#This Row],[Date]])</f>
        <v>6</v>
      </c>
      <c r="B400" s="35" t="s">
        <v>574</v>
      </c>
      <c r="C400" s="31">
        <v>46056</v>
      </c>
      <c r="D400" s="27" t="s">
        <v>11</v>
      </c>
      <c r="E400" s="53" t="s">
        <v>18</v>
      </c>
      <c r="F400" s="235" t="s">
        <v>676</v>
      </c>
      <c r="G400" s="50" t="s">
        <v>8</v>
      </c>
      <c r="H400" s="236">
        <v>2</v>
      </c>
      <c r="I400" s="236">
        <v>1</v>
      </c>
      <c r="J400" s="50" t="s">
        <v>12</v>
      </c>
      <c r="K400" s="28" t="s">
        <v>348</v>
      </c>
      <c r="L400" s="28" t="s">
        <v>19</v>
      </c>
      <c r="M400" s="28">
        <v>251738</v>
      </c>
      <c r="N400" s="22" t="s">
        <v>164</v>
      </c>
      <c r="O400" s="22" t="s">
        <v>677</v>
      </c>
      <c r="P400" s="50" t="s">
        <v>11</v>
      </c>
    </row>
    <row r="401" spans="1:16" ht="18" x14ac:dyDescent="0.35">
      <c r="A401" s="28">
        <f>WEEKNUM(Table1[[#This Row],[Date]])</f>
        <v>6</v>
      </c>
      <c r="B401" s="35" t="s">
        <v>574</v>
      </c>
      <c r="C401" s="31">
        <v>46056</v>
      </c>
      <c r="D401" s="27" t="s">
        <v>11</v>
      </c>
      <c r="E401" s="53" t="s">
        <v>18</v>
      </c>
      <c r="F401" s="235" t="s">
        <v>637</v>
      </c>
      <c r="G401" s="50" t="s">
        <v>8</v>
      </c>
      <c r="H401" s="236">
        <v>5</v>
      </c>
      <c r="I401" s="236">
        <v>0</v>
      </c>
      <c r="J401" s="50"/>
      <c r="K401" s="28" t="s">
        <v>934</v>
      </c>
      <c r="L401" s="28" t="s">
        <v>934</v>
      </c>
      <c r="M401" s="28"/>
      <c r="N401" s="28" t="s">
        <v>934</v>
      </c>
      <c r="O401" s="22"/>
      <c r="P401" s="29" t="s">
        <v>171</v>
      </c>
    </row>
    <row r="402" spans="1:16" ht="18.600000000000001" thickBot="1" x14ac:dyDescent="0.4">
      <c r="A402" s="28">
        <f>WEEKNUM(Table1[[#This Row],[Date]])</f>
        <v>6</v>
      </c>
      <c r="B402" s="35" t="s">
        <v>574</v>
      </c>
      <c r="C402" s="31">
        <v>46056</v>
      </c>
      <c r="D402" s="27" t="s">
        <v>11</v>
      </c>
      <c r="E402" s="54" t="s">
        <v>18</v>
      </c>
      <c r="F402" s="242" t="s">
        <v>678</v>
      </c>
      <c r="G402" s="55" t="s">
        <v>27</v>
      </c>
      <c r="H402" s="243">
        <v>40</v>
      </c>
      <c r="I402" s="243">
        <v>0</v>
      </c>
      <c r="J402" s="55"/>
      <c r="K402" s="28" t="s">
        <v>934</v>
      </c>
      <c r="L402" s="28" t="s">
        <v>934</v>
      </c>
      <c r="M402" s="28"/>
      <c r="N402" s="28" t="s">
        <v>934</v>
      </c>
      <c r="O402" s="22"/>
      <c r="P402" s="29" t="s">
        <v>171</v>
      </c>
    </row>
    <row r="403" spans="1:16" ht="18.600000000000001" thickTop="1" x14ac:dyDescent="0.35">
      <c r="A403" s="28">
        <f>WEEKNUM(Table1[[#This Row],[Date]])</f>
        <v>6</v>
      </c>
      <c r="B403" s="35" t="s">
        <v>574</v>
      </c>
      <c r="C403" s="31">
        <v>46056</v>
      </c>
      <c r="D403" s="27" t="s">
        <v>332</v>
      </c>
      <c r="E403" s="53" t="s">
        <v>38</v>
      </c>
      <c r="F403" s="235" t="s">
        <v>669</v>
      </c>
      <c r="G403" s="50" t="s">
        <v>8</v>
      </c>
      <c r="H403" s="236"/>
      <c r="I403" s="236">
        <v>1</v>
      </c>
      <c r="J403" s="50" t="s">
        <v>684</v>
      </c>
      <c r="K403" s="28" t="s">
        <v>353</v>
      </c>
      <c r="L403" s="28" t="s">
        <v>21</v>
      </c>
      <c r="M403" s="28">
        <v>202302661</v>
      </c>
      <c r="N403" s="22" t="s">
        <v>166</v>
      </c>
      <c r="O403" s="22" t="s">
        <v>679</v>
      </c>
      <c r="P403" s="50" t="s">
        <v>14</v>
      </c>
    </row>
    <row r="404" spans="1:16" ht="18" x14ac:dyDescent="0.35">
      <c r="A404" s="28">
        <f>WEEKNUM(Table1[[#This Row],[Date]])</f>
        <v>6</v>
      </c>
      <c r="B404" s="35" t="s">
        <v>574</v>
      </c>
      <c r="C404" s="31">
        <v>46056</v>
      </c>
      <c r="D404" s="27" t="s">
        <v>332</v>
      </c>
      <c r="E404" s="53" t="s">
        <v>38</v>
      </c>
      <c r="F404" s="235" t="s">
        <v>611</v>
      </c>
      <c r="G404" s="50" t="s">
        <v>8</v>
      </c>
      <c r="H404" s="236"/>
      <c r="I404" s="236">
        <v>1</v>
      </c>
      <c r="J404" s="50" t="s">
        <v>9</v>
      </c>
      <c r="K404" s="28" t="s">
        <v>353</v>
      </c>
      <c r="L404" s="28" t="s">
        <v>49</v>
      </c>
      <c r="M404" s="28">
        <v>202302662</v>
      </c>
      <c r="N404" s="22" t="s">
        <v>166</v>
      </c>
      <c r="O404" s="22" t="s">
        <v>680</v>
      </c>
      <c r="P404" s="50" t="s">
        <v>14</v>
      </c>
    </row>
    <row r="405" spans="1:16" ht="18.600000000000001" thickBot="1" x14ac:dyDescent="0.4">
      <c r="A405" s="28">
        <f>WEEKNUM(Table1[[#This Row],[Date]])</f>
        <v>6</v>
      </c>
      <c r="B405" s="35" t="s">
        <v>574</v>
      </c>
      <c r="C405" s="31">
        <v>46056</v>
      </c>
      <c r="D405" s="27" t="s">
        <v>332</v>
      </c>
      <c r="E405" s="54" t="s">
        <v>38</v>
      </c>
      <c r="F405" s="242" t="s">
        <v>681</v>
      </c>
      <c r="G405" s="55" t="s">
        <v>8</v>
      </c>
      <c r="H405" s="243">
        <v>7</v>
      </c>
      <c r="I405" s="243">
        <v>1</v>
      </c>
      <c r="J405" s="55" t="s">
        <v>685</v>
      </c>
      <c r="K405" s="28" t="s">
        <v>353</v>
      </c>
      <c r="L405" s="28" t="s">
        <v>682</v>
      </c>
      <c r="M405" s="28">
        <v>202302664</v>
      </c>
      <c r="N405" s="22" t="s">
        <v>164</v>
      </c>
      <c r="O405" s="22" t="s">
        <v>683</v>
      </c>
      <c r="P405" s="55" t="s">
        <v>14</v>
      </c>
    </row>
    <row r="406" spans="1:16" ht="19.2" thickTop="1" thickBot="1" x14ac:dyDescent="0.4">
      <c r="A406" s="28">
        <f>WEEKNUM(Table1[[#This Row],[Date]])</f>
        <v>6</v>
      </c>
      <c r="B406" s="35" t="s">
        <v>574</v>
      </c>
      <c r="C406" s="31">
        <v>46054</v>
      </c>
      <c r="D406" s="27" t="s">
        <v>332</v>
      </c>
      <c r="E406" s="54"/>
      <c r="F406" s="242"/>
      <c r="G406" s="55" t="s">
        <v>27</v>
      </c>
      <c r="H406" s="243"/>
      <c r="I406" s="243">
        <v>0</v>
      </c>
      <c r="J406" s="55"/>
      <c r="K406" s="28" t="s">
        <v>934</v>
      </c>
      <c r="L406" s="28" t="s">
        <v>934</v>
      </c>
      <c r="M406" s="28"/>
      <c r="N406" s="28" t="s">
        <v>934</v>
      </c>
      <c r="O406" s="22"/>
      <c r="P406" s="29" t="s">
        <v>171</v>
      </c>
    </row>
    <row r="407" spans="1:16" ht="19.2" thickTop="1" thickBot="1" x14ac:dyDescent="0.4">
      <c r="A407" s="28">
        <f>WEEKNUM(Table1[[#This Row],[Date]])</f>
        <v>6</v>
      </c>
      <c r="B407" s="35" t="s">
        <v>574</v>
      </c>
      <c r="C407" s="31">
        <v>46054</v>
      </c>
      <c r="D407" s="27" t="s">
        <v>332</v>
      </c>
      <c r="E407" s="54"/>
      <c r="F407" s="242"/>
      <c r="G407" s="55" t="s">
        <v>27</v>
      </c>
      <c r="H407" s="243"/>
      <c r="I407" s="243">
        <v>0</v>
      </c>
      <c r="J407" s="55"/>
      <c r="K407" s="28" t="s">
        <v>934</v>
      </c>
      <c r="L407" s="28" t="s">
        <v>934</v>
      </c>
      <c r="M407" s="28"/>
      <c r="N407" s="28" t="s">
        <v>934</v>
      </c>
      <c r="O407" s="22"/>
      <c r="P407" s="29" t="s">
        <v>171</v>
      </c>
    </row>
    <row r="408" spans="1:16" ht="19.2" thickTop="1" thickBot="1" x14ac:dyDescent="0.4">
      <c r="A408" s="28">
        <f>WEEKNUM(Table1[[#This Row],[Date]])</f>
        <v>6</v>
      </c>
      <c r="B408" s="35" t="s">
        <v>574</v>
      </c>
      <c r="C408" s="31">
        <v>46054</v>
      </c>
      <c r="D408" s="27" t="s">
        <v>332</v>
      </c>
      <c r="E408" s="54"/>
      <c r="F408" s="242"/>
      <c r="G408" s="50" t="s">
        <v>8</v>
      </c>
      <c r="H408" s="243"/>
      <c r="I408" s="243">
        <v>0</v>
      </c>
      <c r="J408" s="55"/>
      <c r="K408" s="28" t="s">
        <v>934</v>
      </c>
      <c r="L408" s="28" t="s">
        <v>934</v>
      </c>
      <c r="M408" s="28"/>
      <c r="N408" s="28" t="s">
        <v>934</v>
      </c>
      <c r="O408" s="22"/>
      <c r="P408" s="29" t="s">
        <v>171</v>
      </c>
    </row>
    <row r="409" spans="1:16" ht="19.2" thickTop="1" thickBot="1" x14ac:dyDescent="0.4">
      <c r="A409" s="28">
        <f>WEEKNUM(Table1[[#This Row],[Date]])</f>
        <v>6</v>
      </c>
      <c r="B409" s="35" t="s">
        <v>574</v>
      </c>
      <c r="C409" s="31">
        <v>46054</v>
      </c>
      <c r="D409" s="27" t="s">
        <v>332</v>
      </c>
      <c r="E409" s="54"/>
      <c r="F409" s="242"/>
      <c r="G409" s="50" t="s">
        <v>8</v>
      </c>
      <c r="H409" s="243"/>
      <c r="I409" s="243">
        <v>0</v>
      </c>
      <c r="J409" s="55"/>
      <c r="K409" s="28" t="s">
        <v>934</v>
      </c>
      <c r="L409" s="28" t="s">
        <v>934</v>
      </c>
      <c r="M409" s="28"/>
      <c r="N409" s="28" t="s">
        <v>934</v>
      </c>
      <c r="O409" s="22"/>
      <c r="P409" s="29" t="s">
        <v>171</v>
      </c>
    </row>
    <row r="410" spans="1:16" ht="19.2" thickTop="1" thickBot="1" x14ac:dyDescent="0.4">
      <c r="A410" s="28">
        <f>WEEKNUM(Table1[[#This Row],[Date]])</f>
        <v>6</v>
      </c>
      <c r="B410" s="35" t="s">
        <v>574</v>
      </c>
      <c r="C410" s="31">
        <v>46056</v>
      </c>
      <c r="D410" s="27" t="s">
        <v>332</v>
      </c>
      <c r="E410" s="54"/>
      <c r="F410" s="242"/>
      <c r="G410" s="50" t="s">
        <v>27</v>
      </c>
      <c r="H410" s="243">
        <f>31-7</f>
        <v>24</v>
      </c>
      <c r="I410" s="243">
        <v>0</v>
      </c>
      <c r="J410" s="55"/>
      <c r="K410" s="28" t="s">
        <v>934</v>
      </c>
      <c r="L410" s="28" t="s">
        <v>934</v>
      </c>
      <c r="M410" s="28"/>
      <c r="N410" s="28" t="s">
        <v>934</v>
      </c>
      <c r="O410" s="22"/>
      <c r="P410" s="29" t="s">
        <v>171</v>
      </c>
    </row>
    <row r="411" spans="1:16" ht="19.2" thickTop="1" thickBot="1" x14ac:dyDescent="0.4">
      <c r="A411" s="28">
        <f>WEEKNUM(Table1[[#This Row],[Date]])</f>
        <v>6</v>
      </c>
      <c r="B411" s="35" t="s">
        <v>574</v>
      </c>
      <c r="C411" s="31">
        <v>46055</v>
      </c>
      <c r="D411" s="27" t="s">
        <v>332</v>
      </c>
      <c r="E411" s="54"/>
      <c r="F411" s="242"/>
      <c r="G411" s="50" t="s">
        <v>8</v>
      </c>
      <c r="H411" s="243">
        <v>2</v>
      </c>
      <c r="I411" s="243">
        <v>0</v>
      </c>
      <c r="J411" s="55"/>
      <c r="K411" s="28" t="s">
        <v>934</v>
      </c>
      <c r="L411" s="28" t="s">
        <v>934</v>
      </c>
      <c r="M411" s="28"/>
      <c r="N411" s="28" t="s">
        <v>934</v>
      </c>
      <c r="O411" s="22"/>
      <c r="P411" s="29" t="s">
        <v>171</v>
      </c>
    </row>
    <row r="412" spans="1:16" ht="19.2" thickTop="1" thickBot="1" x14ac:dyDescent="0.4">
      <c r="A412" s="28">
        <f>WEEKNUM(Table1[[#This Row],[Date]])</f>
        <v>6</v>
      </c>
      <c r="B412" s="35" t="s">
        <v>574</v>
      </c>
      <c r="C412" s="31">
        <v>46057</v>
      </c>
      <c r="D412" s="27" t="s">
        <v>11</v>
      </c>
      <c r="E412" s="54" t="s">
        <v>25</v>
      </c>
      <c r="F412" s="242" t="s">
        <v>694</v>
      </c>
      <c r="G412" s="234" t="s">
        <v>27</v>
      </c>
      <c r="H412" s="241">
        <v>8</v>
      </c>
      <c r="I412" s="241">
        <v>0</v>
      </c>
      <c r="J412" s="234"/>
      <c r="K412" s="28" t="s">
        <v>934</v>
      </c>
      <c r="L412" s="28" t="s">
        <v>934</v>
      </c>
      <c r="M412" s="28"/>
      <c r="N412" s="28" t="s">
        <v>934</v>
      </c>
      <c r="O412" s="22"/>
      <c r="P412" s="29" t="s">
        <v>171</v>
      </c>
    </row>
    <row r="413" spans="1:16" ht="19.2" thickTop="1" thickBot="1" x14ac:dyDescent="0.4">
      <c r="A413" s="28">
        <f>WEEKNUM(Table1[[#This Row],[Date]])</f>
        <v>6</v>
      </c>
      <c r="B413" s="35" t="s">
        <v>574</v>
      </c>
      <c r="C413" s="31">
        <v>46057</v>
      </c>
      <c r="D413" s="27" t="s">
        <v>11</v>
      </c>
      <c r="E413" s="54" t="s">
        <v>25</v>
      </c>
      <c r="F413" s="242" t="s">
        <v>695</v>
      </c>
      <c r="G413" s="50" t="s">
        <v>27</v>
      </c>
      <c r="H413" s="236">
        <v>15</v>
      </c>
      <c r="I413" s="236">
        <v>1</v>
      </c>
      <c r="J413" s="50" t="s">
        <v>12</v>
      </c>
      <c r="K413" s="28" t="s">
        <v>349</v>
      </c>
      <c r="L413" s="28" t="s">
        <v>696</v>
      </c>
      <c r="M413" s="28">
        <v>251739</v>
      </c>
      <c r="N413" s="22" t="s">
        <v>164</v>
      </c>
      <c r="O413" s="22" t="s">
        <v>697</v>
      </c>
      <c r="P413" s="50" t="s">
        <v>11</v>
      </c>
    </row>
    <row r="414" spans="1:16" ht="19.2" thickTop="1" thickBot="1" x14ac:dyDescent="0.4">
      <c r="A414" s="28">
        <f>WEEKNUM(Table1[[#This Row],[Date]])</f>
        <v>6</v>
      </c>
      <c r="B414" s="35" t="s">
        <v>574</v>
      </c>
      <c r="C414" s="31">
        <v>46057</v>
      </c>
      <c r="D414" s="27" t="s">
        <v>11</v>
      </c>
      <c r="E414" s="54" t="s">
        <v>25</v>
      </c>
      <c r="F414" s="242" t="s">
        <v>554</v>
      </c>
      <c r="G414" s="50" t="s">
        <v>27</v>
      </c>
      <c r="H414" s="236">
        <v>36</v>
      </c>
      <c r="I414" s="236"/>
      <c r="J414" s="50"/>
      <c r="K414" s="28" t="s">
        <v>934</v>
      </c>
      <c r="L414" s="28" t="s">
        <v>934</v>
      </c>
      <c r="M414" s="28"/>
      <c r="N414" s="28" t="s">
        <v>934</v>
      </c>
      <c r="O414" s="22"/>
      <c r="P414" s="29" t="s">
        <v>171</v>
      </c>
    </row>
    <row r="415" spans="1:16" ht="19.2" thickTop="1" thickBot="1" x14ac:dyDescent="0.4">
      <c r="A415" s="28">
        <f>WEEKNUM(Table1[[#This Row],[Date]])</f>
        <v>6</v>
      </c>
      <c r="B415" s="35" t="s">
        <v>574</v>
      </c>
      <c r="C415" s="31">
        <v>46057</v>
      </c>
      <c r="D415" s="27" t="s">
        <v>11</v>
      </c>
      <c r="E415" s="54" t="s">
        <v>25</v>
      </c>
      <c r="F415" s="242" t="s">
        <v>650</v>
      </c>
      <c r="G415" s="50" t="s">
        <v>27</v>
      </c>
      <c r="H415" s="236">
        <v>7</v>
      </c>
      <c r="I415" s="236">
        <v>1</v>
      </c>
      <c r="J415" s="50" t="s">
        <v>698</v>
      </c>
      <c r="K415" s="28" t="s">
        <v>349</v>
      </c>
      <c r="L415" s="28" t="s">
        <v>13</v>
      </c>
      <c r="M415" s="28">
        <v>251740</v>
      </c>
      <c r="N415" s="22" t="s">
        <v>166</v>
      </c>
      <c r="O415" s="22" t="s">
        <v>315</v>
      </c>
      <c r="P415" s="50" t="s">
        <v>11</v>
      </c>
    </row>
    <row r="416" spans="1:16" ht="19.2" thickTop="1" thickBot="1" x14ac:dyDescent="0.4">
      <c r="A416" s="28">
        <f>WEEKNUM(Table1[[#This Row],[Date]])</f>
        <v>6</v>
      </c>
      <c r="B416" s="35" t="s">
        <v>574</v>
      </c>
      <c r="C416" s="31">
        <v>46057</v>
      </c>
      <c r="D416" s="27" t="s">
        <v>11</v>
      </c>
      <c r="E416" s="54" t="s">
        <v>25</v>
      </c>
      <c r="F416" s="242" t="s">
        <v>699</v>
      </c>
      <c r="G416" s="50" t="s">
        <v>27</v>
      </c>
      <c r="H416" s="236">
        <v>18</v>
      </c>
      <c r="I416" s="236">
        <v>0</v>
      </c>
      <c r="J416" s="50"/>
      <c r="K416" s="28" t="s">
        <v>934</v>
      </c>
      <c r="L416" s="28" t="s">
        <v>934</v>
      </c>
      <c r="M416" s="28"/>
      <c r="N416" s="28" t="s">
        <v>934</v>
      </c>
      <c r="O416" s="22"/>
      <c r="P416" s="29" t="s">
        <v>171</v>
      </c>
    </row>
    <row r="417" spans="1:16" ht="19.2" thickTop="1" thickBot="1" x14ac:dyDescent="0.4">
      <c r="A417" s="28">
        <f>WEEKNUM(Table1[[#This Row],[Date]])</f>
        <v>6</v>
      </c>
      <c r="B417" s="35" t="s">
        <v>574</v>
      </c>
      <c r="C417" s="31">
        <v>46057</v>
      </c>
      <c r="D417" s="27" t="s">
        <v>11</v>
      </c>
      <c r="E417" s="54" t="s">
        <v>25</v>
      </c>
      <c r="F417" s="242" t="s">
        <v>700</v>
      </c>
      <c r="G417" s="50" t="s">
        <v>8</v>
      </c>
      <c r="H417" s="236">
        <v>3</v>
      </c>
      <c r="I417" s="236">
        <v>0</v>
      </c>
      <c r="J417" s="50"/>
      <c r="K417" s="28" t="s">
        <v>934</v>
      </c>
      <c r="L417" s="28" t="s">
        <v>934</v>
      </c>
      <c r="M417" s="28"/>
      <c r="N417" s="28" t="s">
        <v>934</v>
      </c>
      <c r="O417" s="22"/>
      <c r="P417" s="29" t="s">
        <v>171</v>
      </c>
    </row>
    <row r="418" spans="1:16" ht="19.2" thickTop="1" thickBot="1" x14ac:dyDescent="0.4">
      <c r="A418" s="28">
        <f>WEEKNUM(Table1[[#This Row],[Date]])</f>
        <v>6</v>
      </c>
      <c r="B418" s="35" t="s">
        <v>574</v>
      </c>
      <c r="C418" s="31">
        <v>46057</v>
      </c>
      <c r="D418" s="27" t="s">
        <v>11</v>
      </c>
      <c r="E418" s="54" t="s">
        <v>25</v>
      </c>
      <c r="F418" s="242" t="s">
        <v>701</v>
      </c>
      <c r="G418" s="50" t="s">
        <v>27</v>
      </c>
      <c r="H418" s="236">
        <v>9</v>
      </c>
      <c r="I418" s="236">
        <v>1</v>
      </c>
      <c r="J418" s="50" t="s">
        <v>273</v>
      </c>
      <c r="K418" s="28" t="s">
        <v>61</v>
      </c>
      <c r="L418" s="28" t="s">
        <v>159</v>
      </c>
      <c r="M418" s="28">
        <v>251741</v>
      </c>
      <c r="N418" s="22" t="s">
        <v>164</v>
      </c>
      <c r="O418" s="22"/>
      <c r="P418" s="50" t="s">
        <v>16</v>
      </c>
    </row>
    <row r="419" spans="1:16" ht="19.2" thickTop="1" thickBot="1" x14ac:dyDescent="0.4">
      <c r="A419" s="28">
        <f>WEEKNUM(Table1[[#This Row],[Date]])</f>
        <v>6</v>
      </c>
      <c r="B419" s="35" t="s">
        <v>574</v>
      </c>
      <c r="C419" s="31">
        <v>46057</v>
      </c>
      <c r="D419" s="27" t="s">
        <v>11</v>
      </c>
      <c r="E419" s="54" t="s">
        <v>25</v>
      </c>
      <c r="F419" s="242" t="s">
        <v>701</v>
      </c>
      <c r="G419" s="50" t="s">
        <v>27</v>
      </c>
      <c r="H419" s="236"/>
      <c r="I419" s="236">
        <v>1</v>
      </c>
      <c r="J419" s="50" t="s">
        <v>168</v>
      </c>
      <c r="K419" s="28" t="s">
        <v>349</v>
      </c>
      <c r="L419" s="28" t="s">
        <v>159</v>
      </c>
      <c r="M419" s="28">
        <v>251742</v>
      </c>
      <c r="N419" s="22" t="s">
        <v>164</v>
      </c>
      <c r="O419" s="22"/>
      <c r="P419" s="50" t="s">
        <v>11</v>
      </c>
    </row>
    <row r="420" spans="1:16" ht="19.2" thickTop="1" thickBot="1" x14ac:dyDescent="0.4">
      <c r="A420" s="28">
        <f>WEEKNUM(Table1[[#This Row],[Date]])</f>
        <v>6</v>
      </c>
      <c r="B420" s="35" t="s">
        <v>574</v>
      </c>
      <c r="C420" s="31">
        <v>46057</v>
      </c>
      <c r="D420" s="27" t="s">
        <v>11</v>
      </c>
      <c r="E420" s="54" t="s">
        <v>25</v>
      </c>
      <c r="F420" s="242" t="s">
        <v>702</v>
      </c>
      <c r="G420" s="50" t="s">
        <v>8</v>
      </c>
      <c r="H420" s="236">
        <v>4</v>
      </c>
      <c r="I420" s="236">
        <v>1</v>
      </c>
      <c r="J420" s="50" t="s">
        <v>17</v>
      </c>
      <c r="K420" s="28" t="s">
        <v>353</v>
      </c>
      <c r="L420" s="28" t="s">
        <v>555</v>
      </c>
      <c r="M420" s="28">
        <v>251743</v>
      </c>
      <c r="N420" s="22" t="s">
        <v>164</v>
      </c>
      <c r="O420" s="22" t="s">
        <v>703</v>
      </c>
      <c r="P420" s="50" t="s">
        <v>14</v>
      </c>
    </row>
    <row r="421" spans="1:16" ht="19.2" thickTop="1" thickBot="1" x14ac:dyDescent="0.4">
      <c r="A421" s="28">
        <f>WEEKNUM(Table1[[#This Row],[Date]])</f>
        <v>6</v>
      </c>
      <c r="B421" s="35" t="s">
        <v>574</v>
      </c>
      <c r="C421" s="31">
        <v>46057</v>
      </c>
      <c r="D421" s="27" t="s">
        <v>11</v>
      </c>
      <c r="E421" s="54" t="s">
        <v>25</v>
      </c>
      <c r="F421" s="242" t="s">
        <v>704</v>
      </c>
      <c r="G421" s="50" t="s">
        <v>8</v>
      </c>
      <c r="H421" s="236">
        <v>1</v>
      </c>
      <c r="I421" s="236">
        <v>1</v>
      </c>
      <c r="J421" s="50" t="s">
        <v>9</v>
      </c>
      <c r="K421" s="28" t="s">
        <v>349</v>
      </c>
      <c r="L421" s="28" t="s">
        <v>159</v>
      </c>
      <c r="M421" s="28">
        <v>251744</v>
      </c>
      <c r="N421" s="22" t="s">
        <v>164</v>
      </c>
      <c r="O421" s="22"/>
      <c r="P421" s="50" t="s">
        <v>11</v>
      </c>
    </row>
    <row r="422" spans="1:16" ht="19.2" thickTop="1" thickBot="1" x14ac:dyDescent="0.4">
      <c r="A422" s="28">
        <f>WEEKNUM(Table1[[#This Row],[Date]])</f>
        <v>6</v>
      </c>
      <c r="B422" s="35" t="s">
        <v>574</v>
      </c>
      <c r="C422" s="31">
        <v>46057</v>
      </c>
      <c r="D422" s="27" t="s">
        <v>11</v>
      </c>
      <c r="E422" s="54" t="s">
        <v>18</v>
      </c>
      <c r="F422" s="242" t="s">
        <v>705</v>
      </c>
      <c r="G422" s="50" t="s">
        <v>8</v>
      </c>
      <c r="H422" s="236">
        <v>4</v>
      </c>
      <c r="I422" s="236">
        <v>0</v>
      </c>
      <c r="J422" s="50"/>
      <c r="K422" s="28" t="s">
        <v>934</v>
      </c>
      <c r="L422" s="28" t="s">
        <v>934</v>
      </c>
      <c r="M422" s="28"/>
      <c r="N422" s="28" t="s">
        <v>934</v>
      </c>
      <c r="O422" s="22"/>
      <c r="P422" s="29" t="s">
        <v>171</v>
      </c>
    </row>
    <row r="423" spans="1:16" ht="19.2" thickTop="1" thickBot="1" x14ac:dyDescent="0.4">
      <c r="A423" s="28">
        <f>WEEKNUM(Table1[[#This Row],[Date]])</f>
        <v>6</v>
      </c>
      <c r="B423" s="35" t="s">
        <v>574</v>
      </c>
      <c r="C423" s="31">
        <v>46057</v>
      </c>
      <c r="D423" s="27" t="s">
        <v>11</v>
      </c>
      <c r="E423" s="54" t="s">
        <v>18</v>
      </c>
      <c r="F423" s="242" t="s">
        <v>661</v>
      </c>
      <c r="G423" s="50" t="s">
        <v>27</v>
      </c>
      <c r="H423" s="236">
        <v>2</v>
      </c>
      <c r="I423" s="236">
        <v>0</v>
      </c>
      <c r="J423" s="50"/>
      <c r="K423" s="28" t="s">
        <v>934</v>
      </c>
      <c r="L423" s="28" t="s">
        <v>934</v>
      </c>
      <c r="M423" s="28"/>
      <c r="N423" s="28" t="s">
        <v>934</v>
      </c>
      <c r="O423" s="22"/>
      <c r="P423" s="29" t="s">
        <v>171</v>
      </c>
    </row>
    <row r="424" spans="1:16" ht="19.2" thickTop="1" thickBot="1" x14ac:dyDescent="0.4">
      <c r="A424" s="28">
        <f>WEEKNUM(Table1[[#This Row],[Date]])</f>
        <v>6</v>
      </c>
      <c r="B424" s="35" t="s">
        <v>574</v>
      </c>
      <c r="C424" s="31">
        <v>46057</v>
      </c>
      <c r="D424" s="27" t="s">
        <v>11</v>
      </c>
      <c r="E424" s="54" t="s">
        <v>18</v>
      </c>
      <c r="F424" s="242" t="s">
        <v>706</v>
      </c>
      <c r="G424" s="50" t="s">
        <v>27</v>
      </c>
      <c r="H424" s="236">
        <v>12</v>
      </c>
      <c r="I424" s="236">
        <v>0</v>
      </c>
      <c r="J424" s="50"/>
      <c r="K424" s="28" t="s">
        <v>934</v>
      </c>
      <c r="L424" s="28" t="s">
        <v>934</v>
      </c>
      <c r="M424" s="28"/>
      <c r="N424" s="28" t="s">
        <v>934</v>
      </c>
      <c r="O424" s="22"/>
      <c r="P424" s="29" t="s">
        <v>171</v>
      </c>
    </row>
    <row r="425" spans="1:16" ht="19.2" thickTop="1" thickBot="1" x14ac:dyDescent="0.4">
      <c r="A425" s="28">
        <f>WEEKNUM(Table1[[#This Row],[Date]])</f>
        <v>6</v>
      </c>
      <c r="B425" s="35" t="s">
        <v>574</v>
      </c>
      <c r="C425" s="31">
        <v>46057</v>
      </c>
      <c r="D425" s="27" t="s">
        <v>11</v>
      </c>
      <c r="E425" s="54" t="s">
        <v>18</v>
      </c>
      <c r="F425" s="242" t="s">
        <v>707</v>
      </c>
      <c r="G425" s="50" t="s">
        <v>27</v>
      </c>
      <c r="H425" s="236">
        <v>25</v>
      </c>
      <c r="I425" s="236">
        <v>0</v>
      </c>
      <c r="J425" s="50"/>
      <c r="K425" s="28" t="s">
        <v>934</v>
      </c>
      <c r="L425" s="28" t="s">
        <v>934</v>
      </c>
      <c r="M425" s="28"/>
      <c r="N425" s="28" t="s">
        <v>934</v>
      </c>
      <c r="O425" s="22"/>
      <c r="P425" s="29" t="s">
        <v>171</v>
      </c>
    </row>
    <row r="426" spans="1:16" ht="19.2" thickTop="1" thickBot="1" x14ac:dyDescent="0.4">
      <c r="A426" s="28">
        <f>WEEKNUM(Table1[[#This Row],[Date]])</f>
        <v>6</v>
      </c>
      <c r="B426" s="35" t="s">
        <v>574</v>
      </c>
      <c r="C426" s="31">
        <v>46057</v>
      </c>
      <c r="D426" s="27" t="s">
        <v>11</v>
      </c>
      <c r="E426" s="54" t="s">
        <v>18</v>
      </c>
      <c r="F426" s="242" t="s">
        <v>708</v>
      </c>
      <c r="G426" s="50" t="s">
        <v>8</v>
      </c>
      <c r="H426" s="236">
        <v>3</v>
      </c>
      <c r="I426" s="236">
        <v>1</v>
      </c>
      <c r="J426" s="50" t="s">
        <v>709</v>
      </c>
      <c r="K426" s="28" t="s">
        <v>353</v>
      </c>
      <c r="L426" s="28" t="s">
        <v>83</v>
      </c>
      <c r="M426" s="28">
        <v>251745</v>
      </c>
      <c r="N426" s="22" t="s">
        <v>166</v>
      </c>
      <c r="O426" s="22" t="s">
        <v>710</v>
      </c>
      <c r="P426" s="50" t="s">
        <v>14</v>
      </c>
    </row>
    <row r="427" spans="1:16" ht="19.2" thickTop="1" thickBot="1" x14ac:dyDescent="0.4">
      <c r="A427" s="28">
        <f>WEEKNUM(Table1[[#This Row],[Date]])</f>
        <v>6</v>
      </c>
      <c r="B427" s="35" t="s">
        <v>574</v>
      </c>
      <c r="C427" s="31">
        <v>46057</v>
      </c>
      <c r="D427" s="27" t="s">
        <v>11</v>
      </c>
      <c r="E427" s="54" t="s">
        <v>18</v>
      </c>
      <c r="F427" s="242" t="s">
        <v>711</v>
      </c>
      <c r="G427" s="50" t="s">
        <v>8</v>
      </c>
      <c r="H427" s="236">
        <v>1</v>
      </c>
      <c r="I427" s="236">
        <v>1</v>
      </c>
      <c r="J427" s="50" t="s">
        <v>229</v>
      </c>
      <c r="K427" s="28" t="s">
        <v>61</v>
      </c>
      <c r="L427" s="28" t="s">
        <v>466</v>
      </c>
      <c r="M427" s="28">
        <v>251746</v>
      </c>
      <c r="N427" s="22" t="s">
        <v>166</v>
      </c>
      <c r="O427" s="22" t="s">
        <v>712</v>
      </c>
      <c r="P427" s="50" t="s">
        <v>16</v>
      </c>
    </row>
    <row r="428" spans="1:16" ht="19.2" thickTop="1" thickBot="1" x14ac:dyDescent="0.4">
      <c r="A428" s="28">
        <f>WEEKNUM(Table1[[#This Row],[Date]])</f>
        <v>6</v>
      </c>
      <c r="B428" s="35" t="s">
        <v>574</v>
      </c>
      <c r="C428" s="31">
        <v>46057</v>
      </c>
      <c r="D428" s="27" t="s">
        <v>11</v>
      </c>
      <c r="E428" s="54" t="s">
        <v>18</v>
      </c>
      <c r="F428" s="242" t="s">
        <v>713</v>
      </c>
      <c r="G428" s="50" t="s">
        <v>27</v>
      </c>
      <c r="H428" s="236">
        <v>5</v>
      </c>
      <c r="I428" s="236">
        <v>0</v>
      </c>
      <c r="J428" s="50"/>
      <c r="K428" s="28" t="s">
        <v>934</v>
      </c>
      <c r="L428" s="28" t="s">
        <v>934</v>
      </c>
      <c r="M428" s="28"/>
      <c r="N428" s="28" t="s">
        <v>934</v>
      </c>
      <c r="O428" s="22"/>
      <c r="P428" s="29" t="s">
        <v>171</v>
      </c>
    </row>
    <row r="429" spans="1:16" ht="19.2" thickTop="1" thickBot="1" x14ac:dyDescent="0.4">
      <c r="A429" s="28">
        <f>WEEKNUM(Table1[[#This Row],[Date]])</f>
        <v>6</v>
      </c>
      <c r="B429" s="35" t="s">
        <v>574</v>
      </c>
      <c r="C429" s="31">
        <v>46057</v>
      </c>
      <c r="D429" s="27" t="s">
        <v>11</v>
      </c>
      <c r="E429" s="54" t="s">
        <v>18</v>
      </c>
      <c r="F429" s="242" t="s">
        <v>714</v>
      </c>
      <c r="G429" s="50" t="s">
        <v>8</v>
      </c>
      <c r="H429" s="236">
        <v>5</v>
      </c>
      <c r="I429" s="236">
        <v>0</v>
      </c>
      <c r="J429" s="50"/>
      <c r="K429" s="28" t="s">
        <v>934</v>
      </c>
      <c r="L429" s="28" t="s">
        <v>934</v>
      </c>
      <c r="M429" s="28"/>
      <c r="N429" s="28" t="s">
        <v>934</v>
      </c>
      <c r="O429" s="22"/>
      <c r="P429" s="29" t="s">
        <v>171</v>
      </c>
    </row>
    <row r="430" spans="1:16" ht="19.2" thickTop="1" thickBot="1" x14ac:dyDescent="0.4">
      <c r="A430" s="28">
        <f>WEEKNUM(Table1[[#This Row],[Date]])</f>
        <v>6</v>
      </c>
      <c r="B430" s="35" t="s">
        <v>574</v>
      </c>
      <c r="C430" s="31">
        <v>46057</v>
      </c>
      <c r="D430" s="27" t="s">
        <v>11</v>
      </c>
      <c r="E430" s="54" t="s">
        <v>18</v>
      </c>
      <c r="F430" s="242" t="s">
        <v>676</v>
      </c>
      <c r="G430" s="55" t="s">
        <v>27</v>
      </c>
      <c r="H430" s="243">
        <v>2</v>
      </c>
      <c r="I430" s="243">
        <v>0</v>
      </c>
      <c r="J430" s="55"/>
      <c r="K430" s="28" t="s">
        <v>934</v>
      </c>
      <c r="L430" s="28" t="s">
        <v>934</v>
      </c>
      <c r="M430" s="28"/>
      <c r="N430" s="28" t="s">
        <v>934</v>
      </c>
      <c r="O430" s="22"/>
      <c r="P430" s="29" t="s">
        <v>171</v>
      </c>
    </row>
    <row r="431" spans="1:16" ht="19.2" thickTop="1" thickBot="1" x14ac:dyDescent="0.4">
      <c r="A431" s="28">
        <f>WEEKNUM(Table1[[#This Row],[Date]])</f>
        <v>6</v>
      </c>
      <c r="B431" s="35" t="s">
        <v>574</v>
      </c>
      <c r="C431" s="31">
        <v>46057</v>
      </c>
      <c r="D431" s="27" t="s">
        <v>332</v>
      </c>
      <c r="E431" s="54" t="s">
        <v>38</v>
      </c>
      <c r="F431" s="242" t="s">
        <v>673</v>
      </c>
      <c r="G431" s="50" t="s">
        <v>8</v>
      </c>
      <c r="H431" s="236"/>
      <c r="I431" s="236">
        <v>1</v>
      </c>
      <c r="J431" s="50" t="s">
        <v>9</v>
      </c>
      <c r="K431" s="28" t="s">
        <v>353</v>
      </c>
      <c r="L431" s="28" t="s">
        <v>715</v>
      </c>
      <c r="M431" s="28">
        <v>202302665</v>
      </c>
      <c r="N431" s="28" t="s">
        <v>166</v>
      </c>
      <c r="O431" s="22" t="s">
        <v>680</v>
      </c>
      <c r="P431" s="55" t="s">
        <v>14</v>
      </c>
    </row>
    <row r="432" spans="1:16" ht="19.2" thickTop="1" thickBot="1" x14ac:dyDescent="0.4">
      <c r="A432" s="28">
        <f>WEEKNUM(Table1[[#This Row],[Date]])</f>
        <v>6</v>
      </c>
      <c r="B432" s="35" t="s">
        <v>574</v>
      </c>
      <c r="C432" s="31">
        <v>46057</v>
      </c>
      <c r="D432" s="27" t="s">
        <v>286</v>
      </c>
      <c r="E432" s="54" t="s">
        <v>38</v>
      </c>
      <c r="F432" s="242" t="s">
        <v>716</v>
      </c>
      <c r="G432" s="55" t="s">
        <v>27</v>
      </c>
      <c r="H432" s="243">
        <v>20</v>
      </c>
      <c r="I432" s="243">
        <v>1</v>
      </c>
      <c r="J432" s="55" t="s">
        <v>12</v>
      </c>
      <c r="K432" s="28" t="s">
        <v>349</v>
      </c>
      <c r="L432" s="28" t="s">
        <v>717</v>
      </c>
      <c r="M432" s="28">
        <v>202302666</v>
      </c>
      <c r="N432" s="28" t="s">
        <v>164</v>
      </c>
      <c r="O432" s="22" t="s">
        <v>718</v>
      </c>
      <c r="P432" s="55" t="s">
        <v>11</v>
      </c>
    </row>
    <row r="433" spans="1:16" ht="19.2" thickTop="1" thickBot="1" x14ac:dyDescent="0.4">
      <c r="A433" s="28">
        <f>WEEKNUM(Table1[[#This Row],[Date]])</f>
        <v>6</v>
      </c>
      <c r="B433" s="35" t="s">
        <v>574</v>
      </c>
      <c r="C433" s="31">
        <v>46057</v>
      </c>
      <c r="D433" s="27" t="s">
        <v>332</v>
      </c>
      <c r="E433" s="54" t="s">
        <v>38</v>
      </c>
      <c r="F433" s="242" t="s">
        <v>673</v>
      </c>
      <c r="G433" s="50" t="s">
        <v>8</v>
      </c>
      <c r="H433" s="236">
        <v>6</v>
      </c>
      <c r="I433" s="236">
        <v>1</v>
      </c>
      <c r="J433" s="50" t="s">
        <v>197</v>
      </c>
      <c r="K433" s="28" t="s">
        <v>353</v>
      </c>
      <c r="L433" s="28" t="s">
        <v>344</v>
      </c>
      <c r="M433" s="28">
        <v>202302667</v>
      </c>
      <c r="N433" s="28" t="s">
        <v>164</v>
      </c>
      <c r="O433" s="22" t="s">
        <v>719</v>
      </c>
      <c r="P433" s="55" t="s">
        <v>14</v>
      </c>
    </row>
    <row r="434" spans="1:16" ht="19.2" thickTop="1" thickBot="1" x14ac:dyDescent="0.4">
      <c r="A434" s="28">
        <f>WEEKNUM(Table1[[#This Row],[Date]])</f>
        <v>6</v>
      </c>
      <c r="B434" s="35" t="s">
        <v>574</v>
      </c>
      <c r="C434" s="31">
        <v>46058</v>
      </c>
      <c r="D434" s="27" t="s">
        <v>11</v>
      </c>
      <c r="E434" s="54" t="s">
        <v>25</v>
      </c>
      <c r="F434" s="242" t="s">
        <v>722</v>
      </c>
      <c r="G434" s="55" t="s">
        <v>27</v>
      </c>
      <c r="H434" s="243">
        <v>7</v>
      </c>
      <c r="I434" s="243">
        <v>1</v>
      </c>
      <c r="J434" s="55"/>
      <c r="K434" s="28" t="s">
        <v>934</v>
      </c>
      <c r="L434" s="28" t="s">
        <v>934</v>
      </c>
      <c r="M434" s="28"/>
      <c r="N434" s="28" t="s">
        <v>934</v>
      </c>
      <c r="O434" s="22"/>
      <c r="P434" s="29" t="s">
        <v>171</v>
      </c>
    </row>
    <row r="435" spans="1:16" ht="19.2" thickTop="1" thickBot="1" x14ac:dyDescent="0.4">
      <c r="A435" s="28">
        <f>WEEKNUM(Table1[[#This Row],[Date]])</f>
        <v>6</v>
      </c>
      <c r="B435" s="35" t="s">
        <v>574</v>
      </c>
      <c r="C435" s="31">
        <v>46058</v>
      </c>
      <c r="D435" s="27" t="s">
        <v>11</v>
      </c>
      <c r="E435" s="54" t="s">
        <v>25</v>
      </c>
      <c r="F435" s="242" t="s">
        <v>723</v>
      </c>
      <c r="G435" s="50" t="s">
        <v>8</v>
      </c>
      <c r="H435" s="236">
        <v>2</v>
      </c>
      <c r="I435" s="236">
        <v>0</v>
      </c>
      <c r="J435" s="50"/>
      <c r="K435" s="28" t="s">
        <v>353</v>
      </c>
      <c r="L435" s="28" t="s">
        <v>555</v>
      </c>
      <c r="M435" s="28"/>
      <c r="N435" s="28" t="s">
        <v>166</v>
      </c>
      <c r="O435" s="22"/>
      <c r="P435" s="29" t="s">
        <v>171</v>
      </c>
    </row>
    <row r="436" spans="1:16" ht="19.2" thickTop="1" thickBot="1" x14ac:dyDescent="0.4">
      <c r="A436" s="28">
        <f>WEEKNUM(Table1[[#This Row],[Date]])</f>
        <v>6</v>
      </c>
      <c r="B436" s="35" t="s">
        <v>574</v>
      </c>
      <c r="C436" s="31">
        <v>46058</v>
      </c>
      <c r="D436" s="27" t="s">
        <v>11</v>
      </c>
      <c r="E436" s="54" t="s">
        <v>25</v>
      </c>
      <c r="F436" s="242" t="s">
        <v>669</v>
      </c>
      <c r="G436" s="55" t="s">
        <v>27</v>
      </c>
      <c r="H436" s="243">
        <v>114</v>
      </c>
      <c r="I436" s="243">
        <v>1</v>
      </c>
      <c r="J436" s="55" t="s">
        <v>9</v>
      </c>
      <c r="K436" s="28" t="s">
        <v>349</v>
      </c>
      <c r="L436" s="28" t="s">
        <v>13</v>
      </c>
      <c r="M436" s="28">
        <v>251747</v>
      </c>
      <c r="N436" s="28" t="s">
        <v>166</v>
      </c>
      <c r="O436" s="22" t="s">
        <v>724</v>
      </c>
      <c r="P436" s="55" t="s">
        <v>11</v>
      </c>
    </row>
    <row r="437" spans="1:16" ht="19.2" thickTop="1" thickBot="1" x14ac:dyDescent="0.4">
      <c r="A437" s="28">
        <f>WEEKNUM(Table1[[#This Row],[Date]])</f>
        <v>6</v>
      </c>
      <c r="B437" s="35" t="s">
        <v>574</v>
      </c>
      <c r="C437" s="31">
        <v>46058</v>
      </c>
      <c r="D437" s="27" t="s">
        <v>11</v>
      </c>
      <c r="E437" s="54" t="s">
        <v>25</v>
      </c>
      <c r="F437" s="242" t="s">
        <v>725</v>
      </c>
      <c r="G437" s="50" t="s">
        <v>8</v>
      </c>
      <c r="H437" s="236">
        <v>4</v>
      </c>
      <c r="I437" s="236">
        <v>1</v>
      </c>
      <c r="J437" s="50" t="s">
        <v>17</v>
      </c>
      <c r="K437" s="28" t="s">
        <v>353</v>
      </c>
      <c r="L437" s="28" t="s">
        <v>555</v>
      </c>
      <c r="M437" s="28">
        <v>251748</v>
      </c>
      <c r="N437" s="28" t="s">
        <v>166</v>
      </c>
      <c r="O437" s="22"/>
      <c r="P437" s="55" t="s">
        <v>14</v>
      </c>
    </row>
    <row r="438" spans="1:16" ht="19.2" thickTop="1" thickBot="1" x14ac:dyDescent="0.4">
      <c r="A438" s="28">
        <f>WEEKNUM(Table1[[#This Row],[Date]])</f>
        <v>6</v>
      </c>
      <c r="B438" s="35" t="s">
        <v>574</v>
      </c>
      <c r="C438" s="31">
        <v>46058</v>
      </c>
      <c r="D438" s="27" t="s">
        <v>11</v>
      </c>
      <c r="E438" s="54" t="s">
        <v>25</v>
      </c>
      <c r="F438" s="242" t="s">
        <v>726</v>
      </c>
      <c r="G438" s="55" t="s">
        <v>8</v>
      </c>
      <c r="H438" s="243">
        <v>4</v>
      </c>
      <c r="I438" s="243">
        <v>0</v>
      </c>
      <c r="J438" s="55"/>
      <c r="K438" s="28" t="s">
        <v>934</v>
      </c>
      <c r="L438" s="28" t="s">
        <v>934</v>
      </c>
      <c r="M438" s="28"/>
      <c r="N438" s="28" t="s">
        <v>934</v>
      </c>
      <c r="O438" s="22"/>
      <c r="P438" s="29" t="s">
        <v>171</v>
      </c>
    </row>
    <row r="439" spans="1:16" ht="19.2" thickTop="1" thickBot="1" x14ac:dyDescent="0.4">
      <c r="A439" s="28">
        <f>WEEKNUM(Table1[[#This Row],[Date]])</f>
        <v>6</v>
      </c>
      <c r="B439" s="35" t="s">
        <v>574</v>
      </c>
      <c r="C439" s="31">
        <v>46058</v>
      </c>
      <c r="D439" s="27" t="s">
        <v>11</v>
      </c>
      <c r="E439" s="54" t="s">
        <v>25</v>
      </c>
      <c r="F439" s="242" t="s">
        <v>727</v>
      </c>
      <c r="G439" s="50" t="s">
        <v>8</v>
      </c>
      <c r="H439" s="236">
        <v>4</v>
      </c>
      <c r="I439" s="236">
        <v>1</v>
      </c>
      <c r="J439" s="50" t="s">
        <v>229</v>
      </c>
      <c r="K439" s="28" t="s">
        <v>353</v>
      </c>
      <c r="L439" s="28" t="s">
        <v>466</v>
      </c>
      <c r="M439" s="28">
        <v>251749</v>
      </c>
      <c r="N439" s="28" t="s">
        <v>166</v>
      </c>
      <c r="O439" s="22" t="s">
        <v>728</v>
      </c>
      <c r="P439" s="55" t="s">
        <v>14</v>
      </c>
    </row>
    <row r="440" spans="1:16" ht="19.2" thickTop="1" thickBot="1" x14ac:dyDescent="0.4">
      <c r="A440" s="28">
        <f>WEEKNUM(Table1[[#This Row],[Date]])</f>
        <v>6</v>
      </c>
      <c r="B440" s="35" t="s">
        <v>574</v>
      </c>
      <c r="C440" s="31">
        <v>46058</v>
      </c>
      <c r="D440" s="27" t="s">
        <v>11</v>
      </c>
      <c r="E440" s="54" t="s">
        <v>25</v>
      </c>
      <c r="F440" s="242" t="s">
        <v>729</v>
      </c>
      <c r="G440" s="55" t="s">
        <v>8</v>
      </c>
      <c r="H440" s="243">
        <v>8</v>
      </c>
      <c r="I440" s="243">
        <v>0</v>
      </c>
      <c r="J440" s="55"/>
      <c r="K440" s="28" t="s">
        <v>934</v>
      </c>
      <c r="L440" s="28" t="s">
        <v>934</v>
      </c>
      <c r="M440" s="28"/>
      <c r="N440" s="28" t="s">
        <v>934</v>
      </c>
      <c r="O440" s="22"/>
      <c r="P440" s="29" t="s">
        <v>171</v>
      </c>
    </row>
    <row r="441" spans="1:16" ht="19.2" thickTop="1" thickBot="1" x14ac:dyDescent="0.4">
      <c r="A441" s="28">
        <f>WEEKNUM(Table1[[#This Row],[Date]])</f>
        <v>6</v>
      </c>
      <c r="B441" s="35" t="s">
        <v>574</v>
      </c>
      <c r="C441" s="31">
        <v>46058</v>
      </c>
      <c r="D441" s="27" t="s">
        <v>11</v>
      </c>
      <c r="E441" s="54" t="s">
        <v>25</v>
      </c>
      <c r="F441" s="242" t="s">
        <v>730</v>
      </c>
      <c r="G441" s="50" t="s">
        <v>8</v>
      </c>
      <c r="H441" s="236">
        <v>18</v>
      </c>
      <c r="I441" s="236">
        <v>0</v>
      </c>
      <c r="J441" s="50"/>
      <c r="K441" s="28" t="s">
        <v>934</v>
      </c>
      <c r="L441" s="28" t="s">
        <v>934</v>
      </c>
      <c r="M441" s="28"/>
      <c r="N441" s="28" t="s">
        <v>934</v>
      </c>
      <c r="O441" s="22"/>
      <c r="P441" s="29" t="s">
        <v>171</v>
      </c>
    </row>
    <row r="442" spans="1:16" ht="19.2" thickTop="1" thickBot="1" x14ac:dyDescent="0.4">
      <c r="A442" s="28">
        <f>WEEKNUM(Table1[[#This Row],[Date]])</f>
        <v>6</v>
      </c>
      <c r="B442" s="35" t="s">
        <v>574</v>
      </c>
      <c r="C442" s="31">
        <v>46058</v>
      </c>
      <c r="D442" s="27" t="s">
        <v>11</v>
      </c>
      <c r="E442" s="54" t="s">
        <v>18</v>
      </c>
      <c r="F442" s="242" t="s">
        <v>124</v>
      </c>
      <c r="G442" s="55" t="s">
        <v>27</v>
      </c>
      <c r="H442" s="243">
        <v>30</v>
      </c>
      <c r="I442" s="243">
        <v>0</v>
      </c>
      <c r="J442" s="55"/>
      <c r="K442" s="28" t="s">
        <v>934</v>
      </c>
      <c r="L442" s="28" t="s">
        <v>934</v>
      </c>
      <c r="M442" s="28"/>
      <c r="N442" s="28" t="s">
        <v>934</v>
      </c>
      <c r="O442" s="22"/>
      <c r="P442" s="29" t="s">
        <v>171</v>
      </c>
    </row>
    <row r="443" spans="1:16" ht="19.2" thickTop="1" thickBot="1" x14ac:dyDescent="0.4">
      <c r="A443" s="28">
        <f>WEEKNUM(Table1[[#This Row],[Date]])</f>
        <v>6</v>
      </c>
      <c r="B443" s="35" t="s">
        <v>574</v>
      </c>
      <c r="C443" s="31">
        <v>46058</v>
      </c>
      <c r="D443" s="27" t="s">
        <v>11</v>
      </c>
      <c r="E443" s="54" t="s">
        <v>18</v>
      </c>
      <c r="F443" s="242" t="s">
        <v>731</v>
      </c>
      <c r="G443" s="50" t="s">
        <v>8</v>
      </c>
      <c r="H443" s="236">
        <v>1</v>
      </c>
      <c r="I443" s="236">
        <v>1</v>
      </c>
      <c r="J443" s="50" t="s">
        <v>9</v>
      </c>
      <c r="K443" s="28" t="s">
        <v>349</v>
      </c>
      <c r="L443" s="28" t="s">
        <v>10</v>
      </c>
      <c r="M443" s="28">
        <v>251751</v>
      </c>
      <c r="N443" s="28" t="s">
        <v>164</v>
      </c>
      <c r="O443" s="22" t="s">
        <v>732</v>
      </c>
      <c r="P443" s="55" t="s">
        <v>11</v>
      </c>
    </row>
    <row r="444" spans="1:16" ht="19.2" thickTop="1" thickBot="1" x14ac:dyDescent="0.4">
      <c r="A444" s="28">
        <f>WEEKNUM(Table1[[#This Row],[Date]])</f>
        <v>6</v>
      </c>
      <c r="B444" s="35" t="s">
        <v>574</v>
      </c>
      <c r="C444" s="31">
        <v>46058</v>
      </c>
      <c r="D444" s="27" t="s">
        <v>11</v>
      </c>
      <c r="E444" s="54" t="s">
        <v>18</v>
      </c>
      <c r="F444" s="242" t="s">
        <v>733</v>
      </c>
      <c r="G444" s="55" t="s">
        <v>27</v>
      </c>
      <c r="H444" s="243">
        <v>36</v>
      </c>
      <c r="I444" s="243">
        <v>0</v>
      </c>
      <c r="J444" s="55"/>
      <c r="K444" s="28" t="s">
        <v>934</v>
      </c>
      <c r="L444" s="28" t="s">
        <v>934</v>
      </c>
      <c r="M444" s="28"/>
      <c r="N444" s="28" t="s">
        <v>934</v>
      </c>
      <c r="O444" s="22"/>
      <c r="P444" s="29" t="s">
        <v>171</v>
      </c>
    </row>
    <row r="445" spans="1:16" ht="19.2" thickTop="1" thickBot="1" x14ac:dyDescent="0.4">
      <c r="A445" s="28">
        <f>WEEKNUM(Table1[[#This Row],[Date]])</f>
        <v>6</v>
      </c>
      <c r="B445" s="35" t="s">
        <v>574</v>
      </c>
      <c r="C445" s="31">
        <v>46058</v>
      </c>
      <c r="D445" s="27" t="s">
        <v>11</v>
      </c>
      <c r="E445" s="54" t="s">
        <v>18</v>
      </c>
      <c r="F445" s="242" t="s">
        <v>734</v>
      </c>
      <c r="G445" s="50" t="s">
        <v>27</v>
      </c>
      <c r="H445" s="236">
        <v>4</v>
      </c>
      <c r="I445" s="236">
        <v>0</v>
      </c>
      <c r="J445" s="50"/>
      <c r="K445" s="28" t="s">
        <v>934</v>
      </c>
      <c r="L445" s="28" t="s">
        <v>934</v>
      </c>
      <c r="M445" s="28"/>
      <c r="N445" s="28" t="s">
        <v>934</v>
      </c>
      <c r="O445" s="22"/>
      <c r="P445" s="29" t="s">
        <v>171</v>
      </c>
    </row>
    <row r="446" spans="1:16" ht="19.2" thickTop="1" thickBot="1" x14ac:dyDescent="0.4">
      <c r="A446" s="28">
        <f>WEEKNUM(Table1[[#This Row],[Date]])</f>
        <v>6</v>
      </c>
      <c r="B446" s="35" t="s">
        <v>574</v>
      </c>
      <c r="C446" s="31">
        <v>46058</v>
      </c>
      <c r="D446" s="27" t="s">
        <v>11</v>
      </c>
      <c r="E446" s="54" t="s">
        <v>18</v>
      </c>
      <c r="F446" s="242" t="s">
        <v>731</v>
      </c>
      <c r="G446" s="55" t="s">
        <v>8</v>
      </c>
      <c r="H446" s="243">
        <v>5</v>
      </c>
      <c r="I446" s="243">
        <v>1</v>
      </c>
      <c r="J446" s="55" t="s">
        <v>168</v>
      </c>
      <c r="K446" s="28" t="s">
        <v>353</v>
      </c>
      <c r="L446" s="28" t="s">
        <v>83</v>
      </c>
      <c r="M446" s="28">
        <v>251752</v>
      </c>
      <c r="N446" s="28" t="s">
        <v>166</v>
      </c>
      <c r="O446" s="22" t="s">
        <v>735</v>
      </c>
      <c r="P446" s="55" t="s">
        <v>14</v>
      </c>
    </row>
    <row r="447" spans="1:16" ht="19.2" thickTop="1" thickBot="1" x14ac:dyDescent="0.4">
      <c r="A447" s="28">
        <f>WEEKNUM(Table1[[#This Row],[Date]])</f>
        <v>6</v>
      </c>
      <c r="B447" s="35" t="s">
        <v>574</v>
      </c>
      <c r="C447" s="31">
        <v>46058</v>
      </c>
      <c r="D447" s="27" t="s">
        <v>11</v>
      </c>
      <c r="E447" s="54" t="s">
        <v>18</v>
      </c>
      <c r="F447" s="242" t="s">
        <v>736</v>
      </c>
      <c r="G447" s="50" t="s">
        <v>27</v>
      </c>
      <c r="H447" s="236">
        <v>1</v>
      </c>
      <c r="I447" s="236">
        <v>1</v>
      </c>
      <c r="J447" s="50" t="s">
        <v>17</v>
      </c>
      <c r="K447" s="28" t="s">
        <v>61</v>
      </c>
      <c r="L447" s="28" t="s">
        <v>612</v>
      </c>
      <c r="M447" s="28">
        <v>251753</v>
      </c>
      <c r="N447" s="28" t="s">
        <v>164</v>
      </c>
      <c r="O447" s="22" t="s">
        <v>737</v>
      </c>
      <c r="P447" s="55" t="s">
        <v>16</v>
      </c>
    </row>
    <row r="448" spans="1:16" ht="19.2" thickTop="1" thickBot="1" x14ac:dyDescent="0.4">
      <c r="A448" s="28">
        <f>WEEKNUM(Table1[[#This Row],[Date]])</f>
        <v>6</v>
      </c>
      <c r="B448" s="35" t="s">
        <v>574</v>
      </c>
      <c r="C448" s="31">
        <v>46058</v>
      </c>
      <c r="D448" s="27" t="s">
        <v>11</v>
      </c>
      <c r="E448" s="54" t="s">
        <v>18</v>
      </c>
      <c r="F448" s="242" t="s">
        <v>738</v>
      </c>
      <c r="G448" s="55" t="s">
        <v>8</v>
      </c>
      <c r="H448" s="243">
        <v>3</v>
      </c>
      <c r="I448" s="243">
        <v>0</v>
      </c>
      <c r="J448" s="55"/>
      <c r="K448" s="28" t="s">
        <v>934</v>
      </c>
      <c r="L448" s="28" t="s">
        <v>934</v>
      </c>
      <c r="M448" s="28"/>
      <c r="N448" s="28" t="s">
        <v>934</v>
      </c>
      <c r="O448" s="22"/>
      <c r="P448" s="29" t="s">
        <v>171</v>
      </c>
    </row>
    <row r="449" spans="1:16" ht="19.2" thickTop="1" thickBot="1" x14ac:dyDescent="0.4">
      <c r="A449" s="28">
        <f>WEEKNUM(Table1[[#This Row],[Date]])</f>
        <v>6</v>
      </c>
      <c r="B449" s="35" t="s">
        <v>574</v>
      </c>
      <c r="C449" s="31">
        <v>46058</v>
      </c>
      <c r="D449" s="27" t="s">
        <v>11</v>
      </c>
      <c r="E449" s="54" t="s">
        <v>18</v>
      </c>
      <c r="F449" s="242" t="s">
        <v>739</v>
      </c>
      <c r="G449" s="50" t="s">
        <v>27</v>
      </c>
      <c r="H449" s="236">
        <v>3</v>
      </c>
      <c r="I449" s="236">
        <v>3</v>
      </c>
      <c r="J449" s="50" t="s">
        <v>465</v>
      </c>
      <c r="K449" s="28" t="s">
        <v>61</v>
      </c>
      <c r="L449" s="28" t="s">
        <v>612</v>
      </c>
      <c r="M449" s="28">
        <v>251753</v>
      </c>
      <c r="N449" s="28" t="s">
        <v>164</v>
      </c>
      <c r="O449" s="22" t="s">
        <v>737</v>
      </c>
      <c r="P449" s="55" t="s">
        <v>16</v>
      </c>
    </row>
    <row r="450" spans="1:16" ht="19.2" thickTop="1" thickBot="1" x14ac:dyDescent="0.4">
      <c r="A450" s="28">
        <f>WEEKNUM(Table1[[#This Row],[Date]])</f>
        <v>6</v>
      </c>
      <c r="B450" s="35" t="s">
        <v>574</v>
      </c>
      <c r="C450" s="31">
        <v>46058</v>
      </c>
      <c r="D450" s="27" t="s">
        <v>332</v>
      </c>
      <c r="E450" s="54"/>
      <c r="F450" s="242"/>
      <c r="G450" s="50" t="s">
        <v>27</v>
      </c>
      <c r="H450" s="236">
        <f>33-H451</f>
        <v>26</v>
      </c>
      <c r="I450" s="236">
        <v>0</v>
      </c>
      <c r="J450" s="50"/>
      <c r="K450" s="28" t="s">
        <v>934</v>
      </c>
      <c r="L450" s="28" t="s">
        <v>934</v>
      </c>
      <c r="M450" s="28"/>
      <c r="N450" s="28" t="s">
        <v>934</v>
      </c>
      <c r="O450" s="22"/>
      <c r="P450" s="29" t="s">
        <v>171</v>
      </c>
    </row>
    <row r="451" spans="1:16" ht="19.2" thickTop="1" thickBot="1" x14ac:dyDescent="0.4">
      <c r="A451" s="28">
        <f>WEEKNUM(Table1[[#This Row],[Date]])</f>
        <v>6</v>
      </c>
      <c r="B451" s="35" t="s">
        <v>574</v>
      </c>
      <c r="C451" s="31">
        <v>46058</v>
      </c>
      <c r="D451" s="27" t="s">
        <v>332</v>
      </c>
      <c r="E451" s="54"/>
      <c r="F451" s="242"/>
      <c r="G451" s="55" t="s">
        <v>8</v>
      </c>
      <c r="H451" s="243">
        <v>7</v>
      </c>
      <c r="I451" s="243">
        <v>0</v>
      </c>
      <c r="J451" s="55"/>
      <c r="K451" s="28" t="s">
        <v>934</v>
      </c>
      <c r="L451" s="28" t="s">
        <v>934</v>
      </c>
      <c r="M451" s="28"/>
      <c r="N451" s="28" t="s">
        <v>934</v>
      </c>
      <c r="O451" s="22"/>
      <c r="P451" s="29" t="s">
        <v>171</v>
      </c>
    </row>
    <row r="452" spans="1:16" ht="19.2" thickTop="1" thickBot="1" x14ac:dyDescent="0.4">
      <c r="A452" s="28">
        <f>WEEKNUM(Table1[[#This Row],[Date]])</f>
        <v>6</v>
      </c>
      <c r="B452" s="35" t="s">
        <v>574</v>
      </c>
      <c r="C452" s="31">
        <v>46059</v>
      </c>
      <c r="D452" s="27" t="s">
        <v>11</v>
      </c>
      <c r="E452" s="54" t="s">
        <v>25</v>
      </c>
      <c r="F452" s="242" t="s">
        <v>741</v>
      </c>
      <c r="G452" s="50" t="s">
        <v>27</v>
      </c>
      <c r="H452" s="236">
        <v>4</v>
      </c>
      <c r="I452" s="236">
        <v>0</v>
      </c>
      <c r="J452" s="50"/>
      <c r="K452" s="28" t="s">
        <v>934</v>
      </c>
      <c r="L452" s="28" t="s">
        <v>934</v>
      </c>
      <c r="M452" s="28"/>
      <c r="N452" s="28" t="s">
        <v>934</v>
      </c>
      <c r="O452" s="22"/>
      <c r="P452" s="29" t="s">
        <v>171</v>
      </c>
    </row>
    <row r="453" spans="1:16" ht="19.2" thickTop="1" thickBot="1" x14ac:dyDescent="0.4">
      <c r="A453" s="28">
        <f>WEEKNUM(Table1[[#This Row],[Date]])</f>
        <v>6</v>
      </c>
      <c r="B453" s="35" t="s">
        <v>574</v>
      </c>
      <c r="C453" s="31">
        <v>46059</v>
      </c>
      <c r="D453" s="27" t="s">
        <v>11</v>
      </c>
      <c r="E453" s="54" t="s">
        <v>25</v>
      </c>
      <c r="F453" s="242" t="s">
        <v>742</v>
      </c>
      <c r="G453" s="50" t="s">
        <v>8</v>
      </c>
      <c r="H453" s="236">
        <v>2</v>
      </c>
      <c r="I453" s="236">
        <v>0</v>
      </c>
      <c r="J453" s="50"/>
      <c r="K453" s="28" t="s">
        <v>934</v>
      </c>
      <c r="L453" s="28" t="s">
        <v>934</v>
      </c>
      <c r="M453" s="28"/>
      <c r="N453" s="28" t="s">
        <v>934</v>
      </c>
      <c r="O453" s="22"/>
      <c r="P453" s="29" t="s">
        <v>171</v>
      </c>
    </row>
    <row r="454" spans="1:16" ht="19.2" thickTop="1" thickBot="1" x14ac:dyDescent="0.4">
      <c r="A454" s="28">
        <f>WEEKNUM(Table1[[#This Row],[Date]])</f>
        <v>6</v>
      </c>
      <c r="B454" s="35" t="s">
        <v>574</v>
      </c>
      <c r="C454" s="31">
        <v>46059</v>
      </c>
      <c r="D454" s="27" t="s">
        <v>11</v>
      </c>
      <c r="E454" s="54" t="s">
        <v>25</v>
      </c>
      <c r="F454" s="242" t="s">
        <v>743</v>
      </c>
      <c r="G454" s="55" t="s">
        <v>8</v>
      </c>
      <c r="H454" s="243">
        <v>2</v>
      </c>
      <c r="I454" s="243">
        <v>0</v>
      </c>
      <c r="J454" s="55"/>
      <c r="K454" s="28" t="s">
        <v>934</v>
      </c>
      <c r="L454" s="28" t="s">
        <v>934</v>
      </c>
      <c r="M454" s="28"/>
      <c r="N454" s="28" t="s">
        <v>934</v>
      </c>
      <c r="O454" s="22"/>
      <c r="P454" s="29" t="s">
        <v>171</v>
      </c>
    </row>
    <row r="455" spans="1:16" ht="19.2" thickTop="1" thickBot="1" x14ac:dyDescent="0.4">
      <c r="A455" s="28">
        <f>WEEKNUM(Table1[[#This Row],[Date]])</f>
        <v>6</v>
      </c>
      <c r="B455" s="35" t="s">
        <v>574</v>
      </c>
      <c r="C455" s="31">
        <v>46059</v>
      </c>
      <c r="D455" s="27" t="s">
        <v>11</v>
      </c>
      <c r="E455" s="54" t="s">
        <v>25</v>
      </c>
      <c r="F455" s="242" t="s">
        <v>739</v>
      </c>
      <c r="G455" s="50" t="s">
        <v>27</v>
      </c>
      <c r="H455" s="236">
        <v>18</v>
      </c>
      <c r="I455" s="236">
        <v>0</v>
      </c>
      <c r="J455" s="50"/>
      <c r="K455" s="28" t="s">
        <v>934</v>
      </c>
      <c r="L455" s="28" t="s">
        <v>934</v>
      </c>
      <c r="M455" s="28"/>
      <c r="N455" s="28" t="s">
        <v>934</v>
      </c>
      <c r="O455" s="22"/>
      <c r="P455" s="29" t="s">
        <v>171</v>
      </c>
    </row>
    <row r="456" spans="1:16" ht="19.2" thickTop="1" thickBot="1" x14ac:dyDescent="0.4">
      <c r="A456" s="28">
        <f>WEEKNUM(Table1[[#This Row],[Date]])</f>
        <v>6</v>
      </c>
      <c r="B456" s="35" t="s">
        <v>574</v>
      </c>
      <c r="C456" s="31">
        <v>46059</v>
      </c>
      <c r="D456" s="27" t="s">
        <v>11</v>
      </c>
      <c r="E456" s="54" t="s">
        <v>25</v>
      </c>
      <c r="F456" s="242" t="s">
        <v>744</v>
      </c>
      <c r="G456" s="50" t="s">
        <v>27</v>
      </c>
      <c r="H456" s="236">
        <v>6</v>
      </c>
      <c r="I456" s="236">
        <v>0</v>
      </c>
      <c r="J456" s="50"/>
      <c r="K456" s="28" t="s">
        <v>934</v>
      </c>
      <c r="L456" s="28" t="s">
        <v>934</v>
      </c>
      <c r="M456" s="28"/>
      <c r="N456" s="28" t="s">
        <v>934</v>
      </c>
      <c r="O456" s="22"/>
      <c r="P456" s="29" t="s">
        <v>171</v>
      </c>
    </row>
    <row r="457" spans="1:16" ht="19.2" thickTop="1" thickBot="1" x14ac:dyDescent="0.4">
      <c r="A457" s="28">
        <f>WEEKNUM(Table1[[#This Row],[Date]])</f>
        <v>6</v>
      </c>
      <c r="B457" s="35" t="s">
        <v>574</v>
      </c>
      <c r="C457" s="31">
        <v>46059</v>
      </c>
      <c r="D457" s="27" t="s">
        <v>11</v>
      </c>
      <c r="E457" s="54" t="s">
        <v>25</v>
      </c>
      <c r="F457" s="242" t="s">
        <v>745</v>
      </c>
      <c r="G457" s="55" t="s">
        <v>27</v>
      </c>
      <c r="H457" s="243">
        <v>12</v>
      </c>
      <c r="I457" s="243">
        <v>0</v>
      </c>
      <c r="J457" s="55"/>
      <c r="K457" s="28" t="s">
        <v>934</v>
      </c>
      <c r="L457" s="28" t="s">
        <v>934</v>
      </c>
      <c r="M457" s="28"/>
      <c r="N457" s="28" t="s">
        <v>934</v>
      </c>
      <c r="O457" s="22"/>
      <c r="P457" s="29" t="s">
        <v>171</v>
      </c>
    </row>
    <row r="458" spans="1:16" ht="19.2" thickTop="1" thickBot="1" x14ac:dyDescent="0.4">
      <c r="A458" s="28">
        <f>WEEKNUM(Table1[[#This Row],[Date]])</f>
        <v>6</v>
      </c>
      <c r="B458" s="35" t="s">
        <v>574</v>
      </c>
      <c r="C458" s="31">
        <v>46059</v>
      </c>
      <c r="D458" s="27" t="s">
        <v>11</v>
      </c>
      <c r="E458" s="54" t="s">
        <v>25</v>
      </c>
      <c r="F458" s="242" t="s">
        <v>746</v>
      </c>
      <c r="G458" s="50" t="s">
        <v>8</v>
      </c>
      <c r="H458" s="236">
        <v>3</v>
      </c>
      <c r="I458" s="236">
        <v>0</v>
      </c>
      <c r="J458" s="50"/>
      <c r="K458" s="28" t="s">
        <v>934</v>
      </c>
      <c r="L458" s="28" t="s">
        <v>934</v>
      </c>
      <c r="M458" s="28"/>
      <c r="N458" s="28" t="s">
        <v>934</v>
      </c>
      <c r="O458" s="22"/>
      <c r="P458" s="29" t="s">
        <v>171</v>
      </c>
    </row>
    <row r="459" spans="1:16" ht="19.2" thickTop="1" thickBot="1" x14ac:dyDescent="0.4">
      <c r="A459" s="28">
        <f>WEEKNUM(Table1[[#This Row],[Date]])</f>
        <v>6</v>
      </c>
      <c r="B459" s="35" t="s">
        <v>574</v>
      </c>
      <c r="C459" s="31">
        <v>46059</v>
      </c>
      <c r="D459" s="27" t="s">
        <v>11</v>
      </c>
      <c r="E459" s="54" t="s">
        <v>25</v>
      </c>
      <c r="F459" s="242" t="s">
        <v>747</v>
      </c>
      <c r="G459" s="50" t="s">
        <v>8</v>
      </c>
      <c r="H459" s="236">
        <v>7</v>
      </c>
      <c r="I459" s="236">
        <v>1</v>
      </c>
      <c r="J459" s="50" t="s">
        <v>12</v>
      </c>
      <c r="K459" s="28" t="s">
        <v>353</v>
      </c>
      <c r="L459" s="28" t="s">
        <v>19</v>
      </c>
      <c r="M459" s="28">
        <v>251754</v>
      </c>
      <c r="N459" s="22" t="s">
        <v>166</v>
      </c>
      <c r="O459" s="22"/>
      <c r="P459" s="28" t="s">
        <v>14</v>
      </c>
    </row>
    <row r="460" spans="1:16" ht="19.2" thickTop="1" thickBot="1" x14ac:dyDescent="0.4">
      <c r="A460" s="28">
        <f>WEEKNUM(Table1[[#This Row],[Date]])</f>
        <v>6</v>
      </c>
      <c r="B460" s="35" t="s">
        <v>574</v>
      </c>
      <c r="C460" s="31">
        <v>46059</v>
      </c>
      <c r="D460" s="27" t="s">
        <v>11</v>
      </c>
      <c r="E460" s="54" t="s">
        <v>25</v>
      </c>
      <c r="F460" s="242" t="s">
        <v>747</v>
      </c>
      <c r="G460" s="55" t="s">
        <v>8</v>
      </c>
      <c r="H460" s="243">
        <v>1</v>
      </c>
      <c r="I460" s="243">
        <v>1</v>
      </c>
      <c r="J460" s="55" t="s">
        <v>748</v>
      </c>
      <c r="K460" s="28" t="s">
        <v>349</v>
      </c>
      <c r="L460" s="28" t="s">
        <v>159</v>
      </c>
      <c r="M460" s="28">
        <v>251755</v>
      </c>
      <c r="N460" s="22" t="s">
        <v>164</v>
      </c>
      <c r="O460" s="22"/>
      <c r="P460" s="28" t="s">
        <v>11</v>
      </c>
    </row>
    <row r="461" spans="1:16" ht="19.2" thickTop="1" thickBot="1" x14ac:dyDescent="0.4">
      <c r="A461" s="28">
        <f>WEEKNUM(Table1[[#This Row],[Date]])</f>
        <v>6</v>
      </c>
      <c r="B461" s="35" t="s">
        <v>574</v>
      </c>
      <c r="C461" s="31">
        <v>46059</v>
      </c>
      <c r="D461" s="27" t="s">
        <v>11</v>
      </c>
      <c r="E461" s="54" t="s">
        <v>18</v>
      </c>
      <c r="F461" s="242" t="s">
        <v>736</v>
      </c>
      <c r="G461" s="50" t="s">
        <v>27</v>
      </c>
      <c r="H461" s="236">
        <v>12</v>
      </c>
      <c r="I461" s="236">
        <v>0</v>
      </c>
      <c r="J461" s="50"/>
      <c r="K461" s="28" t="s">
        <v>934</v>
      </c>
      <c r="L461" s="28" t="s">
        <v>934</v>
      </c>
      <c r="M461" s="28"/>
      <c r="N461" s="28" t="s">
        <v>934</v>
      </c>
      <c r="O461" s="22"/>
      <c r="P461" s="29" t="s">
        <v>171</v>
      </c>
    </row>
    <row r="462" spans="1:16" ht="19.2" thickTop="1" thickBot="1" x14ac:dyDescent="0.4">
      <c r="A462" s="28">
        <f>WEEKNUM(Table1[[#This Row],[Date]])</f>
        <v>6</v>
      </c>
      <c r="B462" s="35" t="s">
        <v>574</v>
      </c>
      <c r="C462" s="31">
        <v>46059</v>
      </c>
      <c r="D462" s="27" t="s">
        <v>11</v>
      </c>
      <c r="E462" s="54" t="s">
        <v>18</v>
      </c>
      <c r="F462" s="242" t="s">
        <v>749</v>
      </c>
      <c r="G462" s="50" t="s">
        <v>27</v>
      </c>
      <c r="H462" s="236">
        <v>18</v>
      </c>
      <c r="I462" s="236">
        <v>2</v>
      </c>
      <c r="J462" s="50" t="s">
        <v>9</v>
      </c>
      <c r="K462" s="28" t="s">
        <v>740</v>
      </c>
      <c r="L462" s="28" t="s">
        <v>466</v>
      </c>
      <c r="M462" s="28">
        <v>251756</v>
      </c>
      <c r="N462" s="22" t="s">
        <v>166</v>
      </c>
      <c r="O462" s="22" t="s">
        <v>750</v>
      </c>
      <c r="P462" s="28" t="s">
        <v>11</v>
      </c>
    </row>
    <row r="463" spans="1:16" ht="19.2" thickTop="1" thickBot="1" x14ac:dyDescent="0.4">
      <c r="A463" s="28">
        <f>WEEKNUM(Table1[[#This Row],[Date]])</f>
        <v>6</v>
      </c>
      <c r="B463" s="35" t="s">
        <v>574</v>
      </c>
      <c r="C463" s="31">
        <v>46059</v>
      </c>
      <c r="D463" s="27" t="s">
        <v>11</v>
      </c>
      <c r="E463" s="54" t="s">
        <v>18</v>
      </c>
      <c r="F463" s="242" t="s">
        <v>708</v>
      </c>
      <c r="G463" s="55" t="s">
        <v>8</v>
      </c>
      <c r="H463" s="243">
        <v>3</v>
      </c>
      <c r="I463" s="243">
        <v>0</v>
      </c>
      <c r="J463" s="55"/>
      <c r="K463" s="28" t="s">
        <v>934</v>
      </c>
      <c r="L463" s="28" t="s">
        <v>934</v>
      </c>
      <c r="M463" s="28"/>
      <c r="N463" s="28" t="s">
        <v>934</v>
      </c>
      <c r="O463" s="22"/>
      <c r="P463" s="29" t="s">
        <v>171</v>
      </c>
    </row>
    <row r="464" spans="1:16" ht="19.2" thickTop="1" thickBot="1" x14ac:dyDescent="0.4">
      <c r="A464" s="28">
        <f>WEEKNUM(Table1[[#This Row],[Date]])</f>
        <v>6</v>
      </c>
      <c r="B464" s="35" t="s">
        <v>574</v>
      </c>
      <c r="C464" s="31">
        <v>46059</v>
      </c>
      <c r="D464" s="27" t="s">
        <v>11</v>
      </c>
      <c r="E464" s="54" t="s">
        <v>18</v>
      </c>
      <c r="F464" s="242" t="s">
        <v>751</v>
      </c>
      <c r="G464" s="50" t="s">
        <v>8</v>
      </c>
      <c r="H464" s="236">
        <v>2</v>
      </c>
      <c r="I464" s="236">
        <v>2</v>
      </c>
      <c r="J464" s="50" t="s">
        <v>17</v>
      </c>
      <c r="K464" s="28" t="s">
        <v>348</v>
      </c>
      <c r="L464" s="28" t="s">
        <v>20</v>
      </c>
      <c r="M464" s="28">
        <v>251757</v>
      </c>
      <c r="N464" s="22" t="s">
        <v>166</v>
      </c>
      <c r="O464" s="22" t="s">
        <v>20</v>
      </c>
      <c r="P464" s="28" t="s">
        <v>11</v>
      </c>
    </row>
    <row r="465" spans="1:16" ht="19.2" thickTop="1" thickBot="1" x14ac:dyDescent="0.4">
      <c r="A465" s="28">
        <f>WEEKNUM(Table1[[#This Row],[Date]])</f>
        <v>6</v>
      </c>
      <c r="B465" s="35" t="s">
        <v>574</v>
      </c>
      <c r="C465" s="31">
        <v>46059</v>
      </c>
      <c r="D465" s="27" t="s">
        <v>11</v>
      </c>
      <c r="E465" s="54" t="s">
        <v>18</v>
      </c>
      <c r="F465" s="242" t="s">
        <v>752</v>
      </c>
      <c r="G465" s="50" t="s">
        <v>27</v>
      </c>
      <c r="H465" s="236">
        <v>30</v>
      </c>
      <c r="I465" s="236">
        <v>0</v>
      </c>
      <c r="J465" s="50"/>
      <c r="K465" s="28" t="s">
        <v>934</v>
      </c>
      <c r="L465" s="28" t="s">
        <v>934</v>
      </c>
      <c r="M465" s="28"/>
      <c r="N465" s="28" t="s">
        <v>934</v>
      </c>
      <c r="O465" s="22"/>
      <c r="P465" s="29" t="s">
        <v>171</v>
      </c>
    </row>
    <row r="466" spans="1:16" ht="19.2" thickTop="1" thickBot="1" x14ac:dyDescent="0.4">
      <c r="A466" s="28">
        <f>WEEKNUM(Table1[[#This Row],[Date]])</f>
        <v>6</v>
      </c>
      <c r="B466" s="35" t="s">
        <v>574</v>
      </c>
      <c r="C466" s="31">
        <v>46059</v>
      </c>
      <c r="D466" s="27" t="s">
        <v>11</v>
      </c>
      <c r="E466" s="54" t="s">
        <v>18</v>
      </c>
      <c r="F466" s="242" t="s">
        <v>753</v>
      </c>
      <c r="G466" s="55" t="s">
        <v>27</v>
      </c>
      <c r="H466" s="243">
        <v>4</v>
      </c>
      <c r="I466" s="243">
        <v>0</v>
      </c>
      <c r="J466" s="55"/>
      <c r="K466" s="28" t="s">
        <v>934</v>
      </c>
      <c r="L466" s="28" t="s">
        <v>934</v>
      </c>
      <c r="M466" s="28"/>
      <c r="N466" s="28" t="s">
        <v>934</v>
      </c>
      <c r="O466" s="22"/>
      <c r="P466" s="29" t="s">
        <v>171</v>
      </c>
    </row>
    <row r="467" spans="1:16" ht="19.2" thickTop="1" thickBot="1" x14ac:dyDescent="0.4">
      <c r="A467" s="28">
        <f>WEEKNUM(Table1[[#This Row],[Date]])</f>
        <v>6</v>
      </c>
      <c r="B467" s="35" t="s">
        <v>574</v>
      </c>
      <c r="C467" s="31">
        <v>46059</v>
      </c>
      <c r="D467" s="27" t="s">
        <v>11</v>
      </c>
      <c r="E467" s="54" t="s">
        <v>18</v>
      </c>
      <c r="F467" s="242" t="s">
        <v>754</v>
      </c>
      <c r="G467" s="50" t="s">
        <v>27</v>
      </c>
      <c r="H467" s="236">
        <v>4</v>
      </c>
      <c r="I467" s="236">
        <v>0</v>
      </c>
      <c r="J467" s="50"/>
      <c r="K467" s="28" t="s">
        <v>934</v>
      </c>
      <c r="L467" s="28" t="s">
        <v>934</v>
      </c>
      <c r="M467" s="28"/>
      <c r="N467" s="28" t="s">
        <v>934</v>
      </c>
      <c r="O467" s="22"/>
      <c r="P467" s="29" t="s">
        <v>171</v>
      </c>
    </row>
    <row r="468" spans="1:16" ht="19.2" thickTop="1" thickBot="1" x14ac:dyDescent="0.4">
      <c r="A468" s="28">
        <f>WEEKNUM(Table1[[#This Row],[Date]])</f>
        <v>6</v>
      </c>
      <c r="B468" s="35" t="s">
        <v>574</v>
      </c>
      <c r="C468" s="31">
        <v>46059</v>
      </c>
      <c r="D468" s="27" t="s">
        <v>332</v>
      </c>
      <c r="E468" s="54" t="s">
        <v>38</v>
      </c>
      <c r="F468" s="242" t="s">
        <v>755</v>
      </c>
      <c r="G468" s="50" t="s">
        <v>8</v>
      </c>
      <c r="H468" s="236"/>
      <c r="I468" s="236">
        <v>1</v>
      </c>
      <c r="J468" s="50" t="s">
        <v>168</v>
      </c>
      <c r="K468" s="28" t="s">
        <v>353</v>
      </c>
      <c r="L468" s="28" t="s">
        <v>344</v>
      </c>
      <c r="M468" s="28">
        <v>202302668</v>
      </c>
      <c r="N468" s="22" t="s">
        <v>166</v>
      </c>
      <c r="O468" s="22" t="s">
        <v>756</v>
      </c>
      <c r="P468" s="28" t="s">
        <v>14</v>
      </c>
    </row>
    <row r="469" spans="1:16" ht="19.2" thickTop="1" thickBot="1" x14ac:dyDescent="0.4">
      <c r="A469" s="28">
        <f>WEEKNUM(Table1[[#This Row],[Date]])</f>
        <v>6</v>
      </c>
      <c r="B469" s="35" t="s">
        <v>574</v>
      </c>
      <c r="C469" s="31">
        <v>46059</v>
      </c>
      <c r="D469" s="27" t="s">
        <v>332</v>
      </c>
      <c r="E469" s="54" t="s">
        <v>38</v>
      </c>
      <c r="F469" s="242" t="s">
        <v>743</v>
      </c>
      <c r="G469" s="55" t="s">
        <v>8</v>
      </c>
      <c r="H469" s="243">
        <v>4</v>
      </c>
      <c r="I469" s="243">
        <v>1</v>
      </c>
      <c r="J469" s="55" t="s">
        <v>12</v>
      </c>
      <c r="K469" s="28" t="s">
        <v>349</v>
      </c>
      <c r="L469" s="28" t="s">
        <v>717</v>
      </c>
      <c r="M469" s="28">
        <v>202302670</v>
      </c>
      <c r="N469" s="22" t="s">
        <v>164</v>
      </c>
      <c r="O469" s="22" t="s">
        <v>718</v>
      </c>
      <c r="P469" s="28" t="s">
        <v>11</v>
      </c>
    </row>
    <row r="470" spans="1:16" ht="19.2" thickTop="1" thickBot="1" x14ac:dyDescent="0.4">
      <c r="A470" s="28">
        <f>WEEKNUM(Table1[[#This Row],[Date]])</f>
        <v>6</v>
      </c>
      <c r="B470" s="35" t="s">
        <v>574</v>
      </c>
      <c r="C470" s="31">
        <v>46059</v>
      </c>
      <c r="D470" s="27" t="s">
        <v>286</v>
      </c>
      <c r="E470" s="54" t="s">
        <v>38</v>
      </c>
      <c r="F470" s="242" t="s">
        <v>729</v>
      </c>
      <c r="G470" s="50" t="s">
        <v>8</v>
      </c>
      <c r="H470" s="236"/>
      <c r="I470" s="236">
        <v>1</v>
      </c>
      <c r="J470" s="50"/>
      <c r="K470" s="28" t="s">
        <v>353</v>
      </c>
      <c r="L470" s="28" t="s">
        <v>344</v>
      </c>
      <c r="M470" s="28">
        <v>202302673</v>
      </c>
      <c r="N470" s="22" t="s">
        <v>164</v>
      </c>
      <c r="O470" s="22" t="s">
        <v>757</v>
      </c>
      <c r="P470" s="28" t="s">
        <v>14</v>
      </c>
    </row>
    <row r="471" spans="1:16" ht="19.2" thickTop="1" thickBot="1" x14ac:dyDescent="0.4">
      <c r="A471" s="28">
        <f>WEEKNUM(Table1[[#This Row],[Date]])</f>
        <v>6</v>
      </c>
      <c r="B471" s="35" t="s">
        <v>574</v>
      </c>
      <c r="C471" s="31">
        <v>46059</v>
      </c>
      <c r="D471" s="27" t="s">
        <v>332</v>
      </c>
      <c r="E471" s="54"/>
      <c r="F471" s="242"/>
      <c r="G471" s="55" t="s">
        <v>27</v>
      </c>
      <c r="H471" s="243">
        <v>34</v>
      </c>
      <c r="I471" s="243">
        <v>0</v>
      </c>
      <c r="J471" s="55"/>
      <c r="K471" s="28" t="s">
        <v>934</v>
      </c>
      <c r="L471" s="28" t="s">
        <v>934</v>
      </c>
      <c r="M471" s="28"/>
      <c r="N471" s="28" t="s">
        <v>934</v>
      </c>
      <c r="O471" s="22"/>
      <c r="P471" s="29" t="s">
        <v>171</v>
      </c>
    </row>
    <row r="472" spans="1:16" ht="19.2" thickTop="1" thickBot="1" x14ac:dyDescent="0.4">
      <c r="A472" s="28">
        <f>WEEKNUM(Table1[[#This Row],[Date]])</f>
        <v>7</v>
      </c>
      <c r="B472" s="35" t="s">
        <v>574</v>
      </c>
      <c r="C472" s="31">
        <v>46062</v>
      </c>
      <c r="D472" s="27" t="s">
        <v>11</v>
      </c>
      <c r="E472" s="54" t="s">
        <v>18</v>
      </c>
      <c r="F472" s="242" t="s">
        <v>758</v>
      </c>
      <c r="G472" s="50" t="s">
        <v>27</v>
      </c>
      <c r="H472" s="236">
        <v>2</v>
      </c>
      <c r="I472" s="236">
        <v>0</v>
      </c>
      <c r="J472" s="50"/>
      <c r="K472" s="28" t="s">
        <v>934</v>
      </c>
      <c r="L472" s="28" t="s">
        <v>934</v>
      </c>
      <c r="M472" s="28"/>
      <c r="N472" s="28" t="s">
        <v>934</v>
      </c>
      <c r="O472" s="22"/>
      <c r="P472" s="29" t="s">
        <v>171</v>
      </c>
    </row>
    <row r="473" spans="1:16" ht="19.2" thickTop="1" thickBot="1" x14ac:dyDescent="0.4">
      <c r="A473" s="28">
        <f>WEEKNUM(Table1[[#This Row],[Date]])</f>
        <v>7</v>
      </c>
      <c r="B473" s="35" t="s">
        <v>574</v>
      </c>
      <c r="C473" s="31">
        <v>46062</v>
      </c>
      <c r="D473" s="27" t="s">
        <v>11</v>
      </c>
      <c r="E473" s="54" t="s">
        <v>18</v>
      </c>
      <c r="F473" s="242" t="s">
        <v>759</v>
      </c>
      <c r="G473" s="55" t="s">
        <v>8</v>
      </c>
      <c r="H473" s="243">
        <v>4</v>
      </c>
      <c r="I473" s="243">
        <v>1</v>
      </c>
      <c r="J473" s="55" t="s">
        <v>12</v>
      </c>
      <c r="K473" s="28" t="s">
        <v>349</v>
      </c>
      <c r="L473" s="28" t="s">
        <v>159</v>
      </c>
      <c r="M473" s="28">
        <v>251758</v>
      </c>
      <c r="N473" s="22" t="s">
        <v>164</v>
      </c>
      <c r="O473" s="22" t="s">
        <v>760</v>
      </c>
      <c r="P473" s="28" t="s">
        <v>11</v>
      </c>
    </row>
    <row r="474" spans="1:16" ht="19.2" thickTop="1" thickBot="1" x14ac:dyDescent="0.4">
      <c r="A474" s="28">
        <f>WEEKNUM(Table1[[#This Row],[Date]])</f>
        <v>7</v>
      </c>
      <c r="B474" s="35" t="s">
        <v>574</v>
      </c>
      <c r="C474" s="31">
        <v>46062</v>
      </c>
      <c r="D474" s="27" t="s">
        <v>11</v>
      </c>
      <c r="E474" s="54" t="s">
        <v>18</v>
      </c>
      <c r="F474" s="242" t="s">
        <v>761</v>
      </c>
      <c r="G474" s="50" t="s">
        <v>8</v>
      </c>
      <c r="H474" s="236">
        <v>3</v>
      </c>
      <c r="I474" s="236">
        <v>0</v>
      </c>
      <c r="J474" s="50"/>
      <c r="K474" s="28" t="s">
        <v>934</v>
      </c>
      <c r="L474" s="28" t="s">
        <v>934</v>
      </c>
      <c r="M474" s="28"/>
      <c r="N474" s="28" t="s">
        <v>934</v>
      </c>
      <c r="O474" s="22"/>
      <c r="P474" s="29" t="s">
        <v>171</v>
      </c>
    </row>
    <row r="475" spans="1:16" ht="19.2" thickTop="1" thickBot="1" x14ac:dyDescent="0.4">
      <c r="A475" s="28">
        <f>WEEKNUM(Table1[[#This Row],[Date]])</f>
        <v>7</v>
      </c>
      <c r="B475" s="35" t="s">
        <v>574</v>
      </c>
      <c r="C475" s="31">
        <v>46062</v>
      </c>
      <c r="D475" s="27" t="s">
        <v>11</v>
      </c>
      <c r="E475" s="54" t="s">
        <v>18</v>
      </c>
      <c r="F475" s="242" t="s">
        <v>762</v>
      </c>
      <c r="G475" s="55" t="s">
        <v>27</v>
      </c>
      <c r="H475" s="243">
        <v>21</v>
      </c>
      <c r="I475" s="243">
        <v>0</v>
      </c>
      <c r="J475" s="55"/>
      <c r="K475" s="28" t="s">
        <v>934</v>
      </c>
      <c r="L475" s="28" t="s">
        <v>934</v>
      </c>
      <c r="M475" s="28"/>
      <c r="N475" s="28" t="s">
        <v>934</v>
      </c>
      <c r="O475" s="22"/>
      <c r="P475" s="29" t="s">
        <v>171</v>
      </c>
    </row>
    <row r="476" spans="1:16" ht="19.2" thickTop="1" thickBot="1" x14ac:dyDescent="0.4">
      <c r="A476" s="28">
        <f>WEEKNUM(Table1[[#This Row],[Date]])</f>
        <v>7</v>
      </c>
      <c r="B476" s="35" t="s">
        <v>574</v>
      </c>
      <c r="C476" s="31">
        <v>46062</v>
      </c>
      <c r="D476" s="27" t="s">
        <v>11</v>
      </c>
      <c r="E476" s="54" t="s">
        <v>18</v>
      </c>
      <c r="F476" s="242" t="s">
        <v>763</v>
      </c>
      <c r="G476" s="50" t="s">
        <v>27</v>
      </c>
      <c r="H476" s="236">
        <v>3</v>
      </c>
      <c r="I476" s="236">
        <v>0</v>
      </c>
      <c r="J476" s="50"/>
      <c r="K476" s="28" t="s">
        <v>934</v>
      </c>
      <c r="L476" s="28" t="s">
        <v>934</v>
      </c>
      <c r="M476" s="28"/>
      <c r="N476" s="28" t="s">
        <v>934</v>
      </c>
      <c r="O476" s="22"/>
      <c r="P476" s="29" t="s">
        <v>171</v>
      </c>
    </row>
    <row r="477" spans="1:16" ht="19.2" thickTop="1" thickBot="1" x14ac:dyDescent="0.4">
      <c r="A477" s="28">
        <f>WEEKNUM(Table1[[#This Row],[Date]])</f>
        <v>7</v>
      </c>
      <c r="B477" s="35" t="s">
        <v>574</v>
      </c>
      <c r="C477" s="31">
        <v>46062</v>
      </c>
      <c r="D477" s="27" t="s">
        <v>11</v>
      </c>
      <c r="E477" s="54" t="s">
        <v>18</v>
      </c>
      <c r="F477" s="242" t="s">
        <v>764</v>
      </c>
      <c r="G477" s="55" t="s">
        <v>8</v>
      </c>
      <c r="H477" s="243">
        <v>2</v>
      </c>
      <c r="I477" s="243">
        <v>0</v>
      </c>
      <c r="J477" s="55"/>
      <c r="K477" s="28" t="s">
        <v>934</v>
      </c>
      <c r="L477" s="28" t="s">
        <v>934</v>
      </c>
      <c r="M477" s="28"/>
      <c r="N477" s="28" t="s">
        <v>934</v>
      </c>
      <c r="O477" s="22"/>
      <c r="P477" s="29" t="s">
        <v>171</v>
      </c>
    </row>
    <row r="478" spans="1:16" ht="19.2" thickTop="1" thickBot="1" x14ac:dyDescent="0.4">
      <c r="A478" s="28">
        <f>WEEKNUM(Table1[[#This Row],[Date]])</f>
        <v>7</v>
      </c>
      <c r="B478" s="35" t="s">
        <v>574</v>
      </c>
      <c r="C478" s="31">
        <v>46062</v>
      </c>
      <c r="D478" s="27" t="s">
        <v>11</v>
      </c>
      <c r="E478" s="54" t="s">
        <v>18</v>
      </c>
      <c r="F478" s="242" t="s">
        <v>765</v>
      </c>
      <c r="G478" s="50" t="s">
        <v>8</v>
      </c>
      <c r="H478" s="236">
        <v>7</v>
      </c>
      <c r="I478" s="236">
        <v>0</v>
      </c>
      <c r="J478" s="50"/>
      <c r="K478" s="28" t="s">
        <v>934</v>
      </c>
      <c r="L478" s="28" t="s">
        <v>934</v>
      </c>
      <c r="M478" s="28"/>
      <c r="N478" s="28" t="s">
        <v>934</v>
      </c>
      <c r="O478" s="22"/>
      <c r="P478" s="29" t="s">
        <v>171</v>
      </c>
    </row>
    <row r="479" spans="1:16" ht="19.2" thickTop="1" thickBot="1" x14ac:dyDescent="0.4">
      <c r="A479" s="28">
        <f>WEEKNUM(Table1[[#This Row],[Date]])</f>
        <v>7</v>
      </c>
      <c r="B479" s="35" t="s">
        <v>574</v>
      </c>
      <c r="C479" s="31">
        <v>46062</v>
      </c>
      <c r="D479" s="27" t="s">
        <v>11</v>
      </c>
      <c r="E479" s="54" t="s">
        <v>18</v>
      </c>
      <c r="F479" s="242" t="s">
        <v>766</v>
      </c>
      <c r="G479" s="55" t="s">
        <v>8</v>
      </c>
      <c r="H479" s="243">
        <v>3</v>
      </c>
      <c r="I479" s="243">
        <v>0</v>
      </c>
      <c r="J479" s="55"/>
      <c r="K479" s="28" t="s">
        <v>934</v>
      </c>
      <c r="L479" s="28" t="s">
        <v>934</v>
      </c>
      <c r="M479" s="28"/>
      <c r="N479" s="28" t="s">
        <v>934</v>
      </c>
      <c r="O479" s="22"/>
      <c r="P479" s="29" t="s">
        <v>171</v>
      </c>
    </row>
    <row r="480" spans="1:16" ht="19.2" thickTop="1" thickBot="1" x14ac:dyDescent="0.4">
      <c r="A480" s="28">
        <f>WEEKNUM(Table1[[#This Row],[Date]])</f>
        <v>7</v>
      </c>
      <c r="B480" s="35" t="s">
        <v>574</v>
      </c>
      <c r="C480" s="31">
        <v>46062</v>
      </c>
      <c r="D480" s="27" t="s">
        <v>11</v>
      </c>
      <c r="E480" s="54" t="s">
        <v>18</v>
      </c>
      <c r="F480" s="242" t="s">
        <v>751</v>
      </c>
      <c r="G480" s="50" t="s">
        <v>8</v>
      </c>
      <c r="H480" s="236">
        <v>24</v>
      </c>
      <c r="I480" s="236">
        <v>1</v>
      </c>
      <c r="J480" s="50" t="s">
        <v>767</v>
      </c>
      <c r="K480" s="28" t="s">
        <v>349</v>
      </c>
      <c r="L480" s="28" t="s">
        <v>13</v>
      </c>
      <c r="M480" s="28">
        <v>251759</v>
      </c>
      <c r="N480" s="22" t="s">
        <v>164</v>
      </c>
      <c r="O480" s="22" t="s">
        <v>236</v>
      </c>
      <c r="P480" s="28" t="s">
        <v>11</v>
      </c>
    </row>
    <row r="481" spans="1:16" ht="19.2" thickTop="1" thickBot="1" x14ac:dyDescent="0.4">
      <c r="A481" s="28">
        <f>WEEKNUM(Table1[[#This Row],[Date]])</f>
        <v>7</v>
      </c>
      <c r="B481" s="35" t="s">
        <v>574</v>
      </c>
      <c r="C481" s="31">
        <v>46062</v>
      </c>
      <c r="D481" s="27" t="s">
        <v>11</v>
      </c>
      <c r="E481" s="54" t="s">
        <v>18</v>
      </c>
      <c r="F481" s="242" t="s">
        <v>473</v>
      </c>
      <c r="G481" s="55" t="s">
        <v>27</v>
      </c>
      <c r="H481" s="243">
        <v>5</v>
      </c>
      <c r="I481" s="243">
        <v>0</v>
      </c>
      <c r="J481" s="55"/>
      <c r="K481" s="28" t="s">
        <v>934</v>
      </c>
      <c r="L481" s="28" t="s">
        <v>934</v>
      </c>
      <c r="M481" s="28"/>
      <c r="N481" s="28" t="s">
        <v>934</v>
      </c>
      <c r="O481" s="22"/>
      <c r="P481" s="29" t="s">
        <v>171</v>
      </c>
    </row>
    <row r="482" spans="1:16" ht="19.2" thickTop="1" thickBot="1" x14ac:dyDescent="0.4">
      <c r="A482" s="28">
        <f>WEEKNUM(Table1[[#This Row],[Date]])</f>
        <v>7</v>
      </c>
      <c r="B482" s="35" t="s">
        <v>574</v>
      </c>
      <c r="C482" s="31">
        <v>46062</v>
      </c>
      <c r="D482" s="27" t="s">
        <v>11</v>
      </c>
      <c r="E482" s="54" t="s">
        <v>25</v>
      </c>
      <c r="F482" s="242" t="s">
        <v>768</v>
      </c>
      <c r="G482" s="50" t="s">
        <v>27</v>
      </c>
      <c r="H482" s="236">
        <v>5</v>
      </c>
      <c r="I482" s="236">
        <v>1</v>
      </c>
      <c r="J482" s="50" t="s">
        <v>12</v>
      </c>
      <c r="K482" s="28" t="s">
        <v>349</v>
      </c>
      <c r="L482" s="28" t="s">
        <v>10</v>
      </c>
      <c r="M482" s="28">
        <v>251760</v>
      </c>
      <c r="N482" s="22" t="s">
        <v>164</v>
      </c>
      <c r="O482" s="22" t="s">
        <v>769</v>
      </c>
      <c r="P482" s="28" t="s">
        <v>11</v>
      </c>
    </row>
    <row r="483" spans="1:16" ht="19.2" thickTop="1" thickBot="1" x14ac:dyDescent="0.4">
      <c r="A483" s="28">
        <f>WEEKNUM(Table1[[#This Row],[Date]])</f>
        <v>7</v>
      </c>
      <c r="B483" s="35" t="s">
        <v>574</v>
      </c>
      <c r="C483" s="31">
        <v>46062</v>
      </c>
      <c r="D483" s="27" t="s">
        <v>11</v>
      </c>
      <c r="E483" s="54" t="s">
        <v>25</v>
      </c>
      <c r="F483" s="242" t="s">
        <v>770</v>
      </c>
      <c r="G483" s="55" t="s">
        <v>27</v>
      </c>
      <c r="H483" s="243">
        <v>6</v>
      </c>
      <c r="I483" s="243">
        <v>0</v>
      </c>
      <c r="J483" s="55"/>
      <c r="K483" s="28" t="s">
        <v>934</v>
      </c>
      <c r="L483" s="28" t="s">
        <v>934</v>
      </c>
      <c r="M483" s="28"/>
      <c r="N483" s="28" t="s">
        <v>934</v>
      </c>
      <c r="O483" s="22"/>
      <c r="P483" s="29" t="s">
        <v>171</v>
      </c>
    </row>
    <row r="484" spans="1:16" ht="19.2" thickTop="1" thickBot="1" x14ac:dyDescent="0.4">
      <c r="A484" s="28">
        <f>WEEKNUM(Table1[[#This Row],[Date]])</f>
        <v>7</v>
      </c>
      <c r="B484" s="35" t="s">
        <v>574</v>
      </c>
      <c r="C484" s="31">
        <v>46062</v>
      </c>
      <c r="D484" s="27" t="s">
        <v>11</v>
      </c>
      <c r="E484" s="54" t="s">
        <v>25</v>
      </c>
      <c r="F484" s="242" t="s">
        <v>771</v>
      </c>
      <c r="G484" s="50" t="s">
        <v>27</v>
      </c>
      <c r="H484" s="236">
        <v>9</v>
      </c>
      <c r="I484" s="236">
        <v>0</v>
      </c>
      <c r="J484" s="50"/>
      <c r="K484" s="28" t="s">
        <v>934</v>
      </c>
      <c r="L484" s="28" t="s">
        <v>934</v>
      </c>
      <c r="M484" s="28"/>
      <c r="N484" s="28" t="s">
        <v>934</v>
      </c>
      <c r="O484" s="22"/>
      <c r="P484" s="29" t="s">
        <v>171</v>
      </c>
    </row>
    <row r="485" spans="1:16" ht="19.2" thickTop="1" thickBot="1" x14ac:dyDescent="0.4">
      <c r="A485" s="28">
        <f>WEEKNUM(Table1[[#This Row],[Date]])</f>
        <v>7</v>
      </c>
      <c r="B485" s="35" t="s">
        <v>574</v>
      </c>
      <c r="C485" s="31">
        <v>46062</v>
      </c>
      <c r="D485" s="27" t="s">
        <v>11</v>
      </c>
      <c r="E485" s="54" t="s">
        <v>25</v>
      </c>
      <c r="F485" s="242" t="s">
        <v>772</v>
      </c>
      <c r="G485" s="55" t="s">
        <v>27</v>
      </c>
      <c r="H485" s="243">
        <v>9</v>
      </c>
      <c r="I485" s="243">
        <v>3</v>
      </c>
      <c r="J485" s="55" t="s">
        <v>9</v>
      </c>
      <c r="K485" s="28" t="s">
        <v>349</v>
      </c>
      <c r="L485" s="28" t="s">
        <v>13</v>
      </c>
      <c r="M485" s="28">
        <v>251761</v>
      </c>
      <c r="N485" s="22" t="s">
        <v>166</v>
      </c>
      <c r="O485" s="22" t="s">
        <v>773</v>
      </c>
      <c r="P485" s="28" t="s">
        <v>11</v>
      </c>
    </row>
    <row r="486" spans="1:16" ht="19.2" thickTop="1" thickBot="1" x14ac:dyDescent="0.4">
      <c r="A486" s="28">
        <f>WEEKNUM(Table1[[#This Row],[Date]])</f>
        <v>7</v>
      </c>
      <c r="B486" s="35" t="s">
        <v>574</v>
      </c>
      <c r="C486" s="31">
        <v>46062</v>
      </c>
      <c r="D486" s="27" t="s">
        <v>11</v>
      </c>
      <c r="E486" s="54" t="s">
        <v>25</v>
      </c>
      <c r="F486" s="242" t="s">
        <v>774</v>
      </c>
      <c r="G486" s="50" t="s">
        <v>27</v>
      </c>
      <c r="H486" s="236">
        <v>1</v>
      </c>
      <c r="I486" s="236">
        <v>1</v>
      </c>
      <c r="J486" s="50" t="s">
        <v>12</v>
      </c>
      <c r="K486" s="28" t="s">
        <v>349</v>
      </c>
      <c r="L486" s="28" t="s">
        <v>118</v>
      </c>
      <c r="M486" s="28">
        <v>251762</v>
      </c>
      <c r="N486" s="22" t="s">
        <v>166</v>
      </c>
      <c r="O486" s="22" t="s">
        <v>775</v>
      </c>
      <c r="P486" s="28" t="s">
        <v>11</v>
      </c>
    </row>
    <row r="487" spans="1:16" ht="19.2" thickTop="1" thickBot="1" x14ac:dyDescent="0.4">
      <c r="A487" s="28">
        <f>WEEKNUM(Table1[[#This Row],[Date]])</f>
        <v>7</v>
      </c>
      <c r="B487" s="35" t="s">
        <v>574</v>
      </c>
      <c r="C487" s="31">
        <v>46062</v>
      </c>
      <c r="D487" s="27" t="s">
        <v>11</v>
      </c>
      <c r="E487" s="54" t="s">
        <v>25</v>
      </c>
      <c r="F487" s="242" t="s">
        <v>119</v>
      </c>
      <c r="G487" s="55" t="s">
        <v>27</v>
      </c>
      <c r="H487" s="243">
        <v>21</v>
      </c>
      <c r="I487" s="243">
        <v>2</v>
      </c>
      <c r="J487" s="55" t="s">
        <v>776</v>
      </c>
      <c r="K487" s="28" t="s">
        <v>349</v>
      </c>
      <c r="L487" s="28" t="s">
        <v>13</v>
      </c>
      <c r="M487" s="28">
        <v>251763</v>
      </c>
      <c r="N487" s="22" t="s">
        <v>166</v>
      </c>
      <c r="O487" s="22" t="s">
        <v>315</v>
      </c>
      <c r="P487" s="28" t="s">
        <v>11</v>
      </c>
    </row>
    <row r="488" spans="1:16" ht="19.2" thickTop="1" thickBot="1" x14ac:dyDescent="0.4">
      <c r="A488" s="28">
        <f>WEEKNUM(Table1[[#This Row],[Date]])</f>
        <v>7</v>
      </c>
      <c r="B488" s="35" t="s">
        <v>574</v>
      </c>
      <c r="C488" s="31">
        <v>46062</v>
      </c>
      <c r="D488" s="27" t="s">
        <v>11</v>
      </c>
      <c r="E488" s="54" t="s">
        <v>25</v>
      </c>
      <c r="F488" s="242" t="s">
        <v>777</v>
      </c>
      <c r="G488" s="50" t="s">
        <v>27</v>
      </c>
      <c r="H488" s="236">
        <v>7</v>
      </c>
      <c r="I488" s="236">
        <v>0</v>
      </c>
      <c r="J488" s="50"/>
      <c r="K488" s="28" t="s">
        <v>934</v>
      </c>
      <c r="L488" s="28" t="s">
        <v>934</v>
      </c>
      <c r="M488" s="28"/>
      <c r="N488" s="28" t="s">
        <v>934</v>
      </c>
      <c r="O488" s="22"/>
      <c r="P488" s="29" t="s">
        <v>171</v>
      </c>
    </row>
    <row r="489" spans="1:16" ht="19.2" thickTop="1" thickBot="1" x14ac:dyDescent="0.4">
      <c r="A489" s="28">
        <f>WEEKNUM(Table1[[#This Row],[Date]])</f>
        <v>7</v>
      </c>
      <c r="B489" s="35" t="s">
        <v>574</v>
      </c>
      <c r="C489" s="31">
        <v>46062</v>
      </c>
      <c r="D489" s="27" t="s">
        <v>332</v>
      </c>
      <c r="E489" s="54" t="s">
        <v>38</v>
      </c>
      <c r="F489" s="242" t="s">
        <v>729</v>
      </c>
      <c r="G489" s="55" t="s">
        <v>8</v>
      </c>
      <c r="H489" s="243">
        <v>7</v>
      </c>
      <c r="I489" s="243">
        <v>1</v>
      </c>
      <c r="J489" s="55"/>
      <c r="K489" s="28" t="s">
        <v>61</v>
      </c>
      <c r="L489" s="28" t="s">
        <v>61</v>
      </c>
      <c r="M489" s="28">
        <v>202302674</v>
      </c>
      <c r="N489" s="22" t="s">
        <v>164</v>
      </c>
      <c r="O489" s="22" t="s">
        <v>778</v>
      </c>
      <c r="P489" s="28" t="s">
        <v>16</v>
      </c>
    </row>
    <row r="490" spans="1:16" ht="19.2" thickTop="1" thickBot="1" x14ac:dyDescent="0.4">
      <c r="A490" s="28">
        <f>WEEKNUM(Table1[[#This Row],[Date]])</f>
        <v>7</v>
      </c>
      <c r="B490" s="35" t="s">
        <v>574</v>
      </c>
      <c r="C490" s="31">
        <v>46062</v>
      </c>
      <c r="D490" s="27" t="s">
        <v>332</v>
      </c>
      <c r="E490" s="54"/>
      <c r="F490" s="242"/>
      <c r="G490" s="50" t="s">
        <v>27</v>
      </c>
      <c r="H490" s="236">
        <f>24-H489</f>
        <v>17</v>
      </c>
      <c r="I490" s="236">
        <v>0</v>
      </c>
      <c r="J490" s="50"/>
      <c r="K490" s="28" t="s">
        <v>934</v>
      </c>
      <c r="L490" s="28" t="s">
        <v>934</v>
      </c>
      <c r="M490" s="28"/>
      <c r="N490" s="28" t="s">
        <v>934</v>
      </c>
      <c r="O490" s="22"/>
      <c r="P490" s="29" t="s">
        <v>171</v>
      </c>
    </row>
    <row r="491" spans="1:16" ht="19.2" thickTop="1" thickBot="1" x14ac:dyDescent="0.4">
      <c r="A491" s="28">
        <f>WEEKNUM(Table1[[#This Row],[Date]])</f>
        <v>7</v>
      </c>
      <c r="B491" s="35" t="s">
        <v>574</v>
      </c>
      <c r="C491" s="31">
        <v>46063</v>
      </c>
      <c r="D491" s="27" t="s">
        <v>11</v>
      </c>
      <c r="E491" s="54" t="s">
        <v>18</v>
      </c>
      <c r="F491" s="242" t="s">
        <v>764</v>
      </c>
      <c r="G491" s="55" t="s">
        <v>27</v>
      </c>
      <c r="H491" s="243">
        <v>2</v>
      </c>
      <c r="I491" s="243">
        <v>0</v>
      </c>
      <c r="J491" s="55"/>
      <c r="K491" s="28" t="s">
        <v>934</v>
      </c>
      <c r="L491" s="28" t="s">
        <v>934</v>
      </c>
      <c r="M491" s="28"/>
      <c r="N491" s="28" t="s">
        <v>934</v>
      </c>
      <c r="O491" s="22"/>
      <c r="P491" s="29" t="s">
        <v>171</v>
      </c>
    </row>
    <row r="492" spans="1:16" ht="19.2" thickTop="1" thickBot="1" x14ac:dyDescent="0.4">
      <c r="A492" s="28">
        <f>WEEKNUM(Table1[[#This Row],[Date]])</f>
        <v>7</v>
      </c>
      <c r="B492" s="35" t="s">
        <v>574</v>
      </c>
      <c r="C492" s="31">
        <v>46063</v>
      </c>
      <c r="D492" s="27" t="s">
        <v>11</v>
      </c>
      <c r="E492" s="54" t="s">
        <v>18</v>
      </c>
      <c r="F492" s="242" t="s">
        <v>759</v>
      </c>
      <c r="G492" s="50" t="s">
        <v>27</v>
      </c>
      <c r="H492" s="236">
        <v>4</v>
      </c>
      <c r="I492" s="236">
        <v>0</v>
      </c>
      <c r="J492" s="50"/>
      <c r="K492" s="28" t="s">
        <v>934</v>
      </c>
      <c r="L492" s="28" t="s">
        <v>934</v>
      </c>
      <c r="M492" s="28"/>
      <c r="N492" s="28" t="s">
        <v>934</v>
      </c>
      <c r="O492" s="22"/>
      <c r="P492" s="29" t="s">
        <v>171</v>
      </c>
    </row>
    <row r="493" spans="1:16" ht="19.2" thickTop="1" thickBot="1" x14ac:dyDescent="0.4">
      <c r="A493" s="28">
        <f>WEEKNUM(Table1[[#This Row],[Date]])</f>
        <v>7</v>
      </c>
      <c r="B493" s="35" t="s">
        <v>574</v>
      </c>
      <c r="C493" s="31">
        <v>46063</v>
      </c>
      <c r="D493" s="27" t="s">
        <v>11</v>
      </c>
      <c r="E493" s="54" t="s">
        <v>18</v>
      </c>
      <c r="F493" s="242" t="s">
        <v>779</v>
      </c>
      <c r="G493" s="55" t="s">
        <v>27</v>
      </c>
      <c r="H493" s="243">
        <v>9</v>
      </c>
      <c r="I493" s="243">
        <v>0</v>
      </c>
      <c r="J493" s="55"/>
      <c r="K493" s="28" t="s">
        <v>934</v>
      </c>
      <c r="L493" s="28" t="s">
        <v>934</v>
      </c>
      <c r="M493" s="28"/>
      <c r="N493" s="28" t="s">
        <v>934</v>
      </c>
      <c r="O493" s="22"/>
      <c r="P493" s="29" t="s">
        <v>171</v>
      </c>
    </row>
    <row r="494" spans="1:16" ht="19.2" thickTop="1" thickBot="1" x14ac:dyDescent="0.4">
      <c r="A494" s="28">
        <f>WEEKNUM(Table1[[#This Row],[Date]])</f>
        <v>7</v>
      </c>
      <c r="B494" s="35" t="s">
        <v>574</v>
      </c>
      <c r="C494" s="31">
        <v>46063</v>
      </c>
      <c r="D494" s="27" t="s">
        <v>11</v>
      </c>
      <c r="E494" s="54" t="s">
        <v>18</v>
      </c>
      <c r="F494" s="242" t="s">
        <v>658</v>
      </c>
      <c r="G494" s="50" t="s">
        <v>27</v>
      </c>
      <c r="H494" s="236">
        <v>21</v>
      </c>
      <c r="I494" s="236">
        <v>0</v>
      </c>
      <c r="J494" s="50"/>
      <c r="K494" s="28" t="s">
        <v>934</v>
      </c>
      <c r="L494" s="28" t="s">
        <v>934</v>
      </c>
      <c r="M494" s="28"/>
      <c r="N494" s="28" t="s">
        <v>934</v>
      </c>
      <c r="O494" s="22"/>
      <c r="P494" s="29" t="s">
        <v>171</v>
      </c>
    </row>
    <row r="495" spans="1:16" ht="19.2" thickTop="1" thickBot="1" x14ac:dyDescent="0.4">
      <c r="A495" s="28">
        <f>WEEKNUM(Table1[[#This Row],[Date]])</f>
        <v>7</v>
      </c>
      <c r="B495" s="35" t="s">
        <v>574</v>
      </c>
      <c r="C495" s="31">
        <v>46063</v>
      </c>
      <c r="D495" s="27" t="s">
        <v>11</v>
      </c>
      <c r="E495" s="54" t="s">
        <v>18</v>
      </c>
      <c r="F495" s="242" t="s">
        <v>780</v>
      </c>
      <c r="G495" s="55" t="s">
        <v>27</v>
      </c>
      <c r="H495" s="243">
        <v>6</v>
      </c>
      <c r="I495" s="243">
        <v>0</v>
      </c>
      <c r="J495" s="55"/>
      <c r="K495" s="28" t="s">
        <v>934</v>
      </c>
      <c r="L495" s="28" t="s">
        <v>934</v>
      </c>
      <c r="M495" s="28"/>
      <c r="N495" s="28" t="s">
        <v>934</v>
      </c>
      <c r="O495" s="22"/>
      <c r="P495" s="29" t="s">
        <v>171</v>
      </c>
    </row>
    <row r="496" spans="1:16" ht="19.2" thickTop="1" thickBot="1" x14ac:dyDescent="0.4">
      <c r="A496" s="28">
        <f>WEEKNUM(Table1[[#This Row],[Date]])</f>
        <v>7</v>
      </c>
      <c r="B496" s="35" t="s">
        <v>574</v>
      </c>
      <c r="C496" s="31">
        <v>46063</v>
      </c>
      <c r="D496" s="27" t="s">
        <v>11</v>
      </c>
      <c r="E496" s="54" t="s">
        <v>18</v>
      </c>
      <c r="F496" s="242" t="s">
        <v>781</v>
      </c>
      <c r="G496" s="50" t="s">
        <v>27</v>
      </c>
      <c r="H496" s="236">
        <v>6</v>
      </c>
      <c r="I496" s="236">
        <v>0</v>
      </c>
      <c r="J496" s="50"/>
      <c r="K496" s="28" t="s">
        <v>934</v>
      </c>
      <c r="L496" s="28" t="s">
        <v>934</v>
      </c>
      <c r="M496" s="28"/>
      <c r="N496" s="28" t="s">
        <v>934</v>
      </c>
      <c r="O496" s="22"/>
      <c r="P496" s="29" t="s">
        <v>171</v>
      </c>
    </row>
    <row r="497" spans="1:16" ht="19.2" thickTop="1" thickBot="1" x14ac:dyDescent="0.4">
      <c r="A497" s="28">
        <f>WEEKNUM(Table1[[#This Row],[Date]])</f>
        <v>7</v>
      </c>
      <c r="B497" s="35" t="s">
        <v>574</v>
      </c>
      <c r="C497" s="31">
        <v>46063</v>
      </c>
      <c r="D497" s="27" t="s">
        <v>11</v>
      </c>
      <c r="E497" s="54" t="s">
        <v>18</v>
      </c>
      <c r="F497" s="242" t="s">
        <v>356</v>
      </c>
      <c r="G497" s="55" t="s">
        <v>27</v>
      </c>
      <c r="H497" s="243">
        <v>14</v>
      </c>
      <c r="I497" s="243">
        <v>0</v>
      </c>
      <c r="J497" s="55"/>
      <c r="K497" s="28" t="s">
        <v>934</v>
      </c>
      <c r="L497" s="28" t="s">
        <v>934</v>
      </c>
      <c r="M497" s="28"/>
      <c r="N497" s="28" t="s">
        <v>934</v>
      </c>
      <c r="O497" s="22"/>
      <c r="P497" s="29" t="s">
        <v>171</v>
      </c>
    </row>
    <row r="498" spans="1:16" ht="19.2" thickTop="1" thickBot="1" x14ac:dyDescent="0.4">
      <c r="A498" s="28">
        <f>WEEKNUM(Table1[[#This Row],[Date]])</f>
        <v>7</v>
      </c>
      <c r="B498" s="35" t="s">
        <v>574</v>
      </c>
      <c r="C498" s="31">
        <v>46063</v>
      </c>
      <c r="D498" s="27" t="s">
        <v>11</v>
      </c>
      <c r="E498" s="54" t="s">
        <v>18</v>
      </c>
      <c r="F498" s="242" t="s">
        <v>782</v>
      </c>
      <c r="G498" s="50" t="s">
        <v>27</v>
      </c>
      <c r="H498" s="236">
        <v>7</v>
      </c>
      <c r="I498" s="236">
        <v>0</v>
      </c>
      <c r="J498" s="50"/>
      <c r="K498" s="28" t="s">
        <v>934</v>
      </c>
      <c r="L498" s="28" t="s">
        <v>934</v>
      </c>
      <c r="M498" s="28"/>
      <c r="N498" s="28" t="s">
        <v>934</v>
      </c>
      <c r="O498" s="22"/>
      <c r="P498" s="29" t="s">
        <v>171</v>
      </c>
    </row>
    <row r="499" spans="1:16" ht="19.2" thickTop="1" thickBot="1" x14ac:dyDescent="0.4">
      <c r="A499" s="28">
        <f>WEEKNUM(Table1[[#This Row],[Date]])</f>
        <v>7</v>
      </c>
      <c r="B499" s="35" t="s">
        <v>574</v>
      </c>
      <c r="C499" s="31">
        <v>46063</v>
      </c>
      <c r="D499" s="27" t="s">
        <v>11</v>
      </c>
      <c r="E499" s="54" t="s">
        <v>18</v>
      </c>
      <c r="F499" s="242" t="s">
        <v>783</v>
      </c>
      <c r="G499" s="55" t="s">
        <v>8</v>
      </c>
      <c r="H499" s="243">
        <v>1</v>
      </c>
      <c r="I499" s="243">
        <v>1</v>
      </c>
      <c r="J499" s="55" t="s">
        <v>12</v>
      </c>
      <c r="K499" s="28" t="s">
        <v>353</v>
      </c>
      <c r="L499" s="28" t="s">
        <v>13</v>
      </c>
      <c r="M499" s="28">
        <v>251764</v>
      </c>
      <c r="N499" s="22" t="s">
        <v>166</v>
      </c>
      <c r="O499" s="22" t="s">
        <v>656</v>
      </c>
      <c r="P499" s="22" t="s">
        <v>14</v>
      </c>
    </row>
    <row r="500" spans="1:16" ht="19.2" thickTop="1" thickBot="1" x14ac:dyDescent="0.4">
      <c r="A500" s="28">
        <f>WEEKNUM(Table1[[#This Row],[Date]])</f>
        <v>7</v>
      </c>
      <c r="B500" s="35" t="s">
        <v>574</v>
      </c>
      <c r="C500" s="31">
        <v>46063</v>
      </c>
      <c r="D500" s="27" t="s">
        <v>11</v>
      </c>
      <c r="E500" s="54" t="s">
        <v>18</v>
      </c>
      <c r="F500" s="242" t="s">
        <v>784</v>
      </c>
      <c r="G500" s="50" t="s">
        <v>8</v>
      </c>
      <c r="H500" s="236">
        <v>1</v>
      </c>
      <c r="I500" s="236">
        <v>1</v>
      </c>
      <c r="J500" s="50" t="s">
        <v>17</v>
      </c>
      <c r="K500" s="28" t="s">
        <v>61</v>
      </c>
      <c r="L500" s="28" t="s">
        <v>159</v>
      </c>
      <c r="M500" s="28">
        <v>251765</v>
      </c>
      <c r="N500" s="22" t="s">
        <v>164</v>
      </c>
      <c r="O500" s="22" t="s">
        <v>785</v>
      </c>
      <c r="P500" s="22" t="s">
        <v>16</v>
      </c>
    </row>
    <row r="501" spans="1:16" ht="19.2" thickTop="1" thickBot="1" x14ac:dyDescent="0.4">
      <c r="A501" s="28">
        <f>WEEKNUM(Table1[[#This Row],[Date]])</f>
        <v>7</v>
      </c>
      <c r="B501" s="35" t="s">
        <v>574</v>
      </c>
      <c r="C501" s="31">
        <v>46063</v>
      </c>
      <c r="D501" s="27" t="s">
        <v>11</v>
      </c>
      <c r="E501" s="54" t="s">
        <v>25</v>
      </c>
      <c r="F501" s="242" t="s">
        <v>704</v>
      </c>
      <c r="G501" s="55" t="s">
        <v>27</v>
      </c>
      <c r="H501" s="243">
        <v>3</v>
      </c>
      <c r="I501" s="243">
        <v>0</v>
      </c>
      <c r="J501" s="55"/>
      <c r="K501" s="28" t="s">
        <v>934</v>
      </c>
      <c r="L501" s="28" t="s">
        <v>934</v>
      </c>
      <c r="M501" s="28"/>
      <c r="N501" s="28" t="s">
        <v>934</v>
      </c>
      <c r="O501" s="22"/>
      <c r="P501" s="29" t="s">
        <v>171</v>
      </c>
    </row>
    <row r="502" spans="1:16" ht="19.2" thickTop="1" thickBot="1" x14ac:dyDescent="0.4">
      <c r="A502" s="28">
        <f>WEEKNUM(Table1[[#This Row],[Date]])</f>
        <v>7</v>
      </c>
      <c r="B502" s="35" t="s">
        <v>574</v>
      </c>
      <c r="C502" s="31">
        <v>46063</v>
      </c>
      <c r="D502" s="27" t="s">
        <v>11</v>
      </c>
      <c r="E502" s="54" t="s">
        <v>25</v>
      </c>
      <c r="F502" s="242" t="s">
        <v>786</v>
      </c>
      <c r="G502" s="50" t="s">
        <v>27</v>
      </c>
      <c r="H502" s="236">
        <v>12</v>
      </c>
      <c r="I502" s="236">
        <v>0</v>
      </c>
      <c r="J502" s="50"/>
      <c r="K502" s="28" t="s">
        <v>934</v>
      </c>
      <c r="L502" s="28" t="s">
        <v>934</v>
      </c>
      <c r="M502" s="28"/>
      <c r="N502" s="28" t="s">
        <v>934</v>
      </c>
      <c r="O502" s="22"/>
      <c r="P502" s="29" t="s">
        <v>171</v>
      </c>
    </row>
    <row r="503" spans="1:16" ht="19.2" thickTop="1" thickBot="1" x14ac:dyDescent="0.4">
      <c r="A503" s="28">
        <f>WEEKNUM(Table1[[#This Row],[Date]])</f>
        <v>7</v>
      </c>
      <c r="B503" s="35" t="s">
        <v>574</v>
      </c>
      <c r="C503" s="31">
        <v>46063</v>
      </c>
      <c r="D503" s="27" t="s">
        <v>11</v>
      </c>
      <c r="E503" s="54" t="s">
        <v>25</v>
      </c>
      <c r="F503" s="242" t="s">
        <v>787</v>
      </c>
      <c r="G503" s="55" t="s">
        <v>8</v>
      </c>
      <c r="H503" s="243">
        <v>5</v>
      </c>
      <c r="I503" s="243">
        <v>0</v>
      </c>
      <c r="J503" s="55"/>
      <c r="K503" s="28" t="s">
        <v>934</v>
      </c>
      <c r="L503" s="28" t="s">
        <v>934</v>
      </c>
      <c r="M503" s="28"/>
      <c r="N503" s="28" t="s">
        <v>934</v>
      </c>
      <c r="O503" s="22"/>
      <c r="P503" s="29" t="s">
        <v>171</v>
      </c>
    </row>
    <row r="504" spans="1:16" ht="19.2" thickTop="1" thickBot="1" x14ac:dyDescent="0.4">
      <c r="A504" s="28">
        <f>WEEKNUM(Table1[[#This Row],[Date]])</f>
        <v>7</v>
      </c>
      <c r="B504" s="35" t="s">
        <v>574</v>
      </c>
      <c r="C504" s="31">
        <v>46063</v>
      </c>
      <c r="D504" s="27" t="s">
        <v>11</v>
      </c>
      <c r="E504" s="54" t="s">
        <v>25</v>
      </c>
      <c r="F504" s="242" t="s">
        <v>788</v>
      </c>
      <c r="G504" s="50" t="s">
        <v>27</v>
      </c>
      <c r="H504" s="236">
        <v>1</v>
      </c>
      <c r="I504" s="236">
        <v>1</v>
      </c>
      <c r="J504" s="50" t="s">
        <v>9</v>
      </c>
      <c r="K504" s="28" t="s">
        <v>349</v>
      </c>
      <c r="L504" s="28" t="s">
        <v>159</v>
      </c>
      <c r="M504" s="28">
        <v>251766</v>
      </c>
      <c r="N504" s="22" t="s">
        <v>164</v>
      </c>
      <c r="O504" s="22"/>
      <c r="P504" s="22" t="s">
        <v>11</v>
      </c>
    </row>
    <row r="505" spans="1:16" ht="19.2" thickTop="1" thickBot="1" x14ac:dyDescent="0.4">
      <c r="A505" s="28">
        <f>WEEKNUM(Table1[[#This Row],[Date]])</f>
        <v>7</v>
      </c>
      <c r="B505" s="35" t="s">
        <v>574</v>
      </c>
      <c r="C505" s="31">
        <v>46063</v>
      </c>
      <c r="D505" s="27" t="s">
        <v>11</v>
      </c>
      <c r="E505" s="54" t="s">
        <v>25</v>
      </c>
      <c r="F505" s="242" t="s">
        <v>314</v>
      </c>
      <c r="G505" s="55" t="s">
        <v>27</v>
      </c>
      <c r="H505" s="243">
        <v>10</v>
      </c>
      <c r="I505" s="243">
        <v>1</v>
      </c>
      <c r="J505" s="55" t="s">
        <v>12</v>
      </c>
      <c r="K505" s="28" t="s">
        <v>349</v>
      </c>
      <c r="L505" s="28" t="s">
        <v>13</v>
      </c>
      <c r="M505" s="28">
        <v>251767</v>
      </c>
      <c r="N505" s="22" t="s">
        <v>166</v>
      </c>
      <c r="O505" s="22" t="s">
        <v>789</v>
      </c>
      <c r="P505" s="22" t="s">
        <v>11</v>
      </c>
    </row>
    <row r="506" spans="1:16" ht="19.2" thickTop="1" thickBot="1" x14ac:dyDescent="0.4">
      <c r="A506" s="28">
        <f>WEEKNUM(Table1[[#This Row],[Date]])</f>
        <v>7</v>
      </c>
      <c r="B506" s="35" t="s">
        <v>574</v>
      </c>
      <c r="C506" s="31">
        <v>46063</v>
      </c>
      <c r="D506" s="27" t="s">
        <v>11</v>
      </c>
      <c r="E506" s="54" t="s">
        <v>25</v>
      </c>
      <c r="F506" s="242" t="s">
        <v>790</v>
      </c>
      <c r="G506" s="50" t="s">
        <v>8</v>
      </c>
      <c r="H506" s="236">
        <v>1</v>
      </c>
      <c r="I506" s="236">
        <v>1</v>
      </c>
      <c r="J506" s="50" t="s">
        <v>12</v>
      </c>
      <c r="K506" s="28" t="s">
        <v>61</v>
      </c>
      <c r="L506" s="28" t="s">
        <v>612</v>
      </c>
      <c r="M506" s="28">
        <v>251768</v>
      </c>
      <c r="N506" s="22" t="s">
        <v>164</v>
      </c>
      <c r="O506" s="22"/>
      <c r="P506" s="22" t="s">
        <v>16</v>
      </c>
    </row>
    <row r="507" spans="1:16" ht="19.2" thickTop="1" thickBot="1" x14ac:dyDescent="0.4">
      <c r="A507" s="28">
        <f>WEEKNUM(Table1[[#This Row],[Date]])</f>
        <v>7</v>
      </c>
      <c r="B507" s="35" t="s">
        <v>574</v>
      </c>
      <c r="C507" s="31">
        <v>46063</v>
      </c>
      <c r="D507" s="27" t="s">
        <v>11</v>
      </c>
      <c r="E507" s="54" t="s">
        <v>25</v>
      </c>
      <c r="F507" s="242" t="s">
        <v>791</v>
      </c>
      <c r="G507" s="55" t="s">
        <v>27</v>
      </c>
      <c r="H507" s="243">
        <v>21</v>
      </c>
      <c r="I507" s="243">
        <v>1</v>
      </c>
      <c r="J507" s="55" t="s">
        <v>17</v>
      </c>
      <c r="K507" s="28" t="s">
        <v>349</v>
      </c>
      <c r="L507" s="28" t="s">
        <v>118</v>
      </c>
      <c r="M507" s="28">
        <v>251669</v>
      </c>
      <c r="N507" s="22" t="s">
        <v>164</v>
      </c>
      <c r="O507" s="22" t="s">
        <v>530</v>
      </c>
      <c r="P507" s="22" t="s">
        <v>11</v>
      </c>
    </row>
    <row r="508" spans="1:16" ht="19.2" thickTop="1" thickBot="1" x14ac:dyDescent="0.4">
      <c r="A508" s="28">
        <f>WEEKNUM(Table1[[#This Row],[Date]])</f>
        <v>7</v>
      </c>
      <c r="B508" s="35" t="s">
        <v>574</v>
      </c>
      <c r="C508" s="31">
        <v>46063</v>
      </c>
      <c r="D508" s="27" t="s">
        <v>11</v>
      </c>
      <c r="E508" s="54" t="s">
        <v>25</v>
      </c>
      <c r="F508" s="242" t="s">
        <v>792</v>
      </c>
      <c r="G508" s="50" t="s">
        <v>27</v>
      </c>
      <c r="H508" s="236">
        <v>5</v>
      </c>
      <c r="I508" s="236">
        <v>0</v>
      </c>
      <c r="J508" s="50"/>
      <c r="K508" s="28" t="s">
        <v>934</v>
      </c>
      <c r="L508" s="28" t="s">
        <v>934</v>
      </c>
      <c r="M508" s="28"/>
      <c r="N508" s="28" t="s">
        <v>934</v>
      </c>
      <c r="O508" s="22"/>
      <c r="P508" s="29" t="s">
        <v>171</v>
      </c>
    </row>
    <row r="509" spans="1:16" ht="19.2" thickTop="1" thickBot="1" x14ac:dyDescent="0.4">
      <c r="A509" s="28">
        <f>WEEKNUM(Table1[[#This Row],[Date]])</f>
        <v>7</v>
      </c>
      <c r="B509" s="35" t="s">
        <v>574</v>
      </c>
      <c r="C509" s="31">
        <v>46063</v>
      </c>
      <c r="D509" s="27" t="s">
        <v>11</v>
      </c>
      <c r="E509" s="54" t="s">
        <v>25</v>
      </c>
      <c r="F509" s="242" t="s">
        <v>793</v>
      </c>
      <c r="G509" s="55" t="s">
        <v>27</v>
      </c>
      <c r="H509" s="243">
        <v>2</v>
      </c>
      <c r="I509" s="243">
        <v>1</v>
      </c>
      <c r="J509" s="55" t="s">
        <v>12</v>
      </c>
      <c r="K509" s="28" t="s">
        <v>61</v>
      </c>
      <c r="L509" s="28" t="s">
        <v>19</v>
      </c>
      <c r="M509" s="28">
        <v>251670</v>
      </c>
      <c r="N509" s="22" t="s">
        <v>166</v>
      </c>
      <c r="O509" s="22" t="s">
        <v>570</v>
      </c>
      <c r="P509" s="22" t="s">
        <v>16</v>
      </c>
    </row>
    <row r="510" spans="1:16" ht="19.2" thickTop="1" thickBot="1" x14ac:dyDescent="0.4">
      <c r="A510" s="28">
        <f>WEEKNUM(Table1[[#This Row],[Date]])</f>
        <v>7</v>
      </c>
      <c r="B510" s="35" t="s">
        <v>574</v>
      </c>
      <c r="C510" s="31">
        <v>46063</v>
      </c>
      <c r="D510" s="27" t="s">
        <v>332</v>
      </c>
      <c r="E510" s="54" t="s">
        <v>38</v>
      </c>
      <c r="F510" s="242" t="s">
        <v>794</v>
      </c>
      <c r="G510" s="50" t="s">
        <v>27</v>
      </c>
      <c r="H510" s="236">
        <v>8</v>
      </c>
      <c r="I510" s="236">
        <v>1</v>
      </c>
      <c r="J510" s="50" t="s">
        <v>9</v>
      </c>
      <c r="K510" s="28" t="s">
        <v>61</v>
      </c>
      <c r="L510" s="28" t="s">
        <v>61</v>
      </c>
      <c r="M510" s="28">
        <v>202302675</v>
      </c>
      <c r="N510" s="22" t="s">
        <v>166</v>
      </c>
      <c r="O510" s="22" t="s">
        <v>795</v>
      </c>
      <c r="P510" s="22" t="s">
        <v>16</v>
      </c>
    </row>
    <row r="511" spans="1:16" ht="19.2" thickTop="1" thickBot="1" x14ac:dyDescent="0.4">
      <c r="A511" s="28">
        <f>WEEKNUM(Table1[[#This Row],[Date]])</f>
        <v>7</v>
      </c>
      <c r="B511" s="35" t="s">
        <v>574</v>
      </c>
      <c r="C511" s="31">
        <v>46063</v>
      </c>
      <c r="D511" s="27" t="s">
        <v>332</v>
      </c>
      <c r="E511" s="54" t="s">
        <v>38</v>
      </c>
      <c r="F511" s="242" t="s">
        <v>747</v>
      </c>
      <c r="G511" s="55" t="s">
        <v>8</v>
      </c>
      <c r="H511" s="243"/>
      <c r="I511" s="243">
        <v>1</v>
      </c>
      <c r="J511" s="55" t="s">
        <v>9</v>
      </c>
      <c r="K511" s="28" t="s">
        <v>349</v>
      </c>
      <c r="L511" s="28" t="s">
        <v>796</v>
      </c>
      <c r="M511" s="28">
        <v>202302676</v>
      </c>
      <c r="N511" s="22" t="s">
        <v>164</v>
      </c>
      <c r="O511" s="22" t="s">
        <v>255</v>
      </c>
      <c r="P511" s="22" t="s">
        <v>11</v>
      </c>
    </row>
    <row r="512" spans="1:16" ht="19.2" thickTop="1" thickBot="1" x14ac:dyDescent="0.4">
      <c r="A512" s="28">
        <f>WEEKNUM(Table1[[#This Row],[Date]])</f>
        <v>7</v>
      </c>
      <c r="B512" s="35" t="s">
        <v>574</v>
      </c>
      <c r="C512" s="31">
        <v>46063</v>
      </c>
      <c r="D512" s="27" t="s">
        <v>332</v>
      </c>
      <c r="E512" s="54" t="s">
        <v>38</v>
      </c>
      <c r="F512" s="242" t="s">
        <v>797</v>
      </c>
      <c r="G512" s="50" t="s">
        <v>8</v>
      </c>
      <c r="H512" s="236">
        <v>3</v>
      </c>
      <c r="I512" s="236">
        <v>1</v>
      </c>
      <c r="J512" s="50" t="s">
        <v>767</v>
      </c>
      <c r="K512" s="28" t="s">
        <v>353</v>
      </c>
      <c r="L512" s="28" t="s">
        <v>344</v>
      </c>
      <c r="M512" s="28">
        <v>202302677</v>
      </c>
      <c r="N512" s="22" t="s">
        <v>169</v>
      </c>
      <c r="O512" s="22" t="s">
        <v>798</v>
      </c>
      <c r="P512" s="22" t="s">
        <v>14</v>
      </c>
    </row>
    <row r="513" spans="1:16" ht="19.2" thickTop="1" thickBot="1" x14ac:dyDescent="0.4">
      <c r="A513" s="28">
        <f>WEEKNUM(Table1[[#This Row],[Date]])</f>
        <v>7</v>
      </c>
      <c r="B513" s="35" t="s">
        <v>574</v>
      </c>
      <c r="C513" s="31">
        <v>46064</v>
      </c>
      <c r="D513" s="27" t="s">
        <v>11</v>
      </c>
      <c r="E513" s="54" t="s">
        <v>18</v>
      </c>
      <c r="F513" s="242" t="s">
        <v>799</v>
      </c>
      <c r="G513" s="55" t="s">
        <v>27</v>
      </c>
      <c r="H513" s="243">
        <v>2</v>
      </c>
      <c r="I513" s="243">
        <v>0</v>
      </c>
      <c r="J513" s="55"/>
      <c r="K513" s="28" t="s">
        <v>934</v>
      </c>
      <c r="L513" s="28" t="s">
        <v>934</v>
      </c>
      <c r="M513" s="28"/>
      <c r="N513" s="28" t="s">
        <v>934</v>
      </c>
      <c r="O513" s="22"/>
      <c r="P513" s="29" t="s">
        <v>171</v>
      </c>
    </row>
    <row r="514" spans="1:16" ht="19.2" thickTop="1" thickBot="1" x14ac:dyDescent="0.4">
      <c r="A514" s="28">
        <f>WEEKNUM(Table1[[#This Row],[Date]])</f>
        <v>7</v>
      </c>
      <c r="B514" s="35" t="s">
        <v>574</v>
      </c>
      <c r="C514" s="31">
        <v>46064</v>
      </c>
      <c r="D514" s="27" t="s">
        <v>11</v>
      </c>
      <c r="E514" s="54" t="s">
        <v>18</v>
      </c>
      <c r="F514" s="242" t="s">
        <v>800</v>
      </c>
      <c r="G514" s="50" t="s">
        <v>8</v>
      </c>
      <c r="H514" s="236">
        <v>3</v>
      </c>
      <c r="I514" s="236">
        <v>1</v>
      </c>
      <c r="J514" s="50" t="s">
        <v>9</v>
      </c>
      <c r="K514" s="28" t="s">
        <v>61</v>
      </c>
      <c r="L514" s="28" t="s">
        <v>93</v>
      </c>
      <c r="M514" s="28">
        <v>251671</v>
      </c>
      <c r="N514" s="22" t="s">
        <v>164</v>
      </c>
      <c r="O514" s="22" t="s">
        <v>801</v>
      </c>
      <c r="P514" s="22" t="s">
        <v>16</v>
      </c>
    </row>
    <row r="515" spans="1:16" ht="19.2" thickTop="1" thickBot="1" x14ac:dyDescent="0.4">
      <c r="A515" s="28">
        <f>WEEKNUM(Table1[[#This Row],[Date]])</f>
        <v>7</v>
      </c>
      <c r="B515" s="35" t="s">
        <v>574</v>
      </c>
      <c r="C515" s="31">
        <v>46064</v>
      </c>
      <c r="D515" s="27" t="s">
        <v>11</v>
      </c>
      <c r="E515" s="54" t="s">
        <v>18</v>
      </c>
      <c r="F515" s="242" t="s">
        <v>802</v>
      </c>
      <c r="G515" s="55" t="s">
        <v>27</v>
      </c>
      <c r="H515" s="243">
        <v>10</v>
      </c>
      <c r="I515" s="243">
        <v>0</v>
      </c>
      <c r="J515" s="55"/>
      <c r="K515" s="28" t="s">
        <v>934</v>
      </c>
      <c r="L515" s="28" t="s">
        <v>934</v>
      </c>
      <c r="M515" s="28"/>
      <c r="N515" s="28" t="s">
        <v>934</v>
      </c>
      <c r="O515" s="22"/>
      <c r="P515" s="29" t="s">
        <v>171</v>
      </c>
    </row>
    <row r="516" spans="1:16" ht="19.2" thickTop="1" thickBot="1" x14ac:dyDescent="0.4">
      <c r="A516" s="28">
        <f>WEEKNUM(Table1[[#This Row],[Date]])</f>
        <v>7</v>
      </c>
      <c r="B516" s="35" t="s">
        <v>574</v>
      </c>
      <c r="C516" s="31">
        <v>46064</v>
      </c>
      <c r="D516" s="27" t="s">
        <v>11</v>
      </c>
      <c r="E516" s="54" t="s">
        <v>18</v>
      </c>
      <c r="F516" s="242" t="s">
        <v>803</v>
      </c>
      <c r="G516" s="50" t="s">
        <v>8</v>
      </c>
      <c r="H516" s="236">
        <v>5</v>
      </c>
      <c r="I516" s="236">
        <v>0</v>
      </c>
      <c r="J516" s="50"/>
      <c r="K516" s="28" t="s">
        <v>934</v>
      </c>
      <c r="L516" s="28" t="s">
        <v>934</v>
      </c>
      <c r="M516" s="28"/>
      <c r="N516" s="28" t="s">
        <v>934</v>
      </c>
      <c r="O516" s="22"/>
      <c r="P516" s="29" t="s">
        <v>171</v>
      </c>
    </row>
    <row r="517" spans="1:16" ht="19.2" thickTop="1" thickBot="1" x14ac:dyDescent="0.4">
      <c r="A517" s="28">
        <f>WEEKNUM(Table1[[#This Row],[Date]])</f>
        <v>7</v>
      </c>
      <c r="B517" s="35" t="s">
        <v>574</v>
      </c>
      <c r="C517" s="31">
        <v>46064</v>
      </c>
      <c r="D517" s="27" t="s">
        <v>11</v>
      </c>
      <c r="E517" s="54" t="s">
        <v>18</v>
      </c>
      <c r="F517" s="242" t="s">
        <v>804</v>
      </c>
      <c r="G517" s="55" t="s">
        <v>27</v>
      </c>
      <c r="H517" s="243">
        <v>12</v>
      </c>
      <c r="I517" s="243">
        <v>0</v>
      </c>
      <c r="J517" s="55"/>
      <c r="K517" s="28" t="s">
        <v>934</v>
      </c>
      <c r="L517" s="28" t="s">
        <v>934</v>
      </c>
      <c r="M517" s="28"/>
      <c r="N517" s="28" t="s">
        <v>934</v>
      </c>
      <c r="O517" s="22"/>
      <c r="P517" s="29" t="s">
        <v>171</v>
      </c>
    </row>
    <row r="518" spans="1:16" ht="19.2" thickTop="1" thickBot="1" x14ac:dyDescent="0.4">
      <c r="A518" s="28">
        <f>WEEKNUM(Table1[[#This Row],[Date]])</f>
        <v>7</v>
      </c>
      <c r="B518" s="35" t="s">
        <v>574</v>
      </c>
      <c r="C518" s="31">
        <v>46064</v>
      </c>
      <c r="D518" s="27" t="s">
        <v>11</v>
      </c>
      <c r="E518" s="54" t="s">
        <v>18</v>
      </c>
      <c r="F518" s="242" t="s">
        <v>805</v>
      </c>
      <c r="G518" s="50" t="s">
        <v>27</v>
      </c>
      <c r="H518" s="236">
        <v>50</v>
      </c>
      <c r="I518" s="236">
        <v>0</v>
      </c>
      <c r="J518" s="50"/>
      <c r="K518" s="28" t="s">
        <v>934</v>
      </c>
      <c r="L518" s="28" t="s">
        <v>934</v>
      </c>
      <c r="M518" s="28"/>
      <c r="N518" s="28" t="s">
        <v>934</v>
      </c>
      <c r="O518" s="22"/>
      <c r="P518" s="29" t="s">
        <v>171</v>
      </c>
    </row>
    <row r="519" spans="1:16" ht="19.2" thickTop="1" thickBot="1" x14ac:dyDescent="0.4">
      <c r="A519" s="28">
        <f>WEEKNUM(Table1[[#This Row],[Date]])</f>
        <v>7</v>
      </c>
      <c r="B519" s="35" t="s">
        <v>574</v>
      </c>
      <c r="C519" s="31">
        <v>46064</v>
      </c>
      <c r="D519" s="27" t="s">
        <v>11</v>
      </c>
      <c r="E519" s="54" t="s">
        <v>18</v>
      </c>
      <c r="F519" s="242" t="s">
        <v>733</v>
      </c>
      <c r="G519" s="55" t="s">
        <v>27</v>
      </c>
      <c r="H519" s="243">
        <v>12</v>
      </c>
      <c r="I519" s="243">
        <v>0</v>
      </c>
      <c r="J519" s="55"/>
      <c r="K519" s="28" t="s">
        <v>934</v>
      </c>
      <c r="L519" s="28" t="s">
        <v>934</v>
      </c>
      <c r="M519" s="28"/>
      <c r="N519" s="28" t="s">
        <v>934</v>
      </c>
      <c r="O519" s="22"/>
      <c r="P519" s="29" t="s">
        <v>171</v>
      </c>
    </row>
    <row r="520" spans="1:16" ht="19.2" thickTop="1" thickBot="1" x14ac:dyDescent="0.4">
      <c r="A520" s="28">
        <f>WEEKNUM(Table1[[#This Row],[Date]])</f>
        <v>7</v>
      </c>
      <c r="B520" s="35" t="s">
        <v>574</v>
      </c>
      <c r="C520" s="31">
        <v>46064</v>
      </c>
      <c r="D520" s="27" t="s">
        <v>11</v>
      </c>
      <c r="E520" s="54" t="s">
        <v>18</v>
      </c>
      <c r="F520" s="242" t="s">
        <v>806</v>
      </c>
      <c r="G520" s="50" t="s">
        <v>8</v>
      </c>
      <c r="H520" s="236">
        <v>11</v>
      </c>
      <c r="I520" s="236">
        <v>1</v>
      </c>
      <c r="J520" s="50" t="s">
        <v>168</v>
      </c>
      <c r="K520" s="28" t="s">
        <v>350</v>
      </c>
      <c r="L520" s="28" t="s">
        <v>36</v>
      </c>
      <c r="M520" s="28">
        <v>251672</v>
      </c>
      <c r="N520" s="22" t="s">
        <v>165</v>
      </c>
      <c r="O520" s="22" t="s">
        <v>326</v>
      </c>
      <c r="P520" s="22" t="s">
        <v>660</v>
      </c>
    </row>
    <row r="521" spans="1:16" ht="19.2" thickTop="1" thickBot="1" x14ac:dyDescent="0.4">
      <c r="A521" s="28">
        <f>WEEKNUM(Table1[[#This Row],[Date]])</f>
        <v>7</v>
      </c>
      <c r="B521" s="35" t="s">
        <v>574</v>
      </c>
      <c r="C521" s="31">
        <v>46064</v>
      </c>
      <c r="D521" s="27" t="s">
        <v>11</v>
      </c>
      <c r="E521" s="54" t="s">
        <v>18</v>
      </c>
      <c r="F521" s="242" t="s">
        <v>807</v>
      </c>
      <c r="G521" s="55" t="s">
        <v>8</v>
      </c>
      <c r="H521" s="243">
        <v>8</v>
      </c>
      <c r="I521" s="243">
        <v>0</v>
      </c>
      <c r="J521" s="55"/>
      <c r="K521" s="28" t="s">
        <v>934</v>
      </c>
      <c r="L521" s="28" t="s">
        <v>934</v>
      </c>
      <c r="M521" s="28"/>
      <c r="N521" s="28" t="s">
        <v>934</v>
      </c>
      <c r="O521" s="22"/>
      <c r="P521" s="29" t="s">
        <v>171</v>
      </c>
    </row>
    <row r="522" spans="1:16" ht="19.2" thickTop="1" thickBot="1" x14ac:dyDescent="0.4">
      <c r="A522" s="28">
        <f>WEEKNUM(Table1[[#This Row],[Date]])</f>
        <v>7</v>
      </c>
      <c r="B522" s="35" t="s">
        <v>574</v>
      </c>
      <c r="C522" s="31">
        <v>46064</v>
      </c>
      <c r="D522" s="27" t="s">
        <v>11</v>
      </c>
      <c r="E522" s="54" t="s">
        <v>18</v>
      </c>
      <c r="F522" s="242" t="s">
        <v>808</v>
      </c>
      <c r="G522" s="50" t="s">
        <v>27</v>
      </c>
      <c r="H522" s="236">
        <v>3</v>
      </c>
      <c r="I522" s="236">
        <v>0</v>
      </c>
      <c r="J522" s="50"/>
      <c r="K522" s="28" t="s">
        <v>934</v>
      </c>
      <c r="L522" s="28" t="s">
        <v>934</v>
      </c>
      <c r="M522" s="28"/>
      <c r="N522" s="28" t="s">
        <v>934</v>
      </c>
      <c r="O522" s="22"/>
      <c r="P522" s="29" t="s">
        <v>171</v>
      </c>
    </row>
    <row r="523" spans="1:16" ht="19.2" thickTop="1" thickBot="1" x14ac:dyDescent="0.4">
      <c r="A523" s="28">
        <f>WEEKNUM(Table1[[#This Row],[Date]])</f>
        <v>7</v>
      </c>
      <c r="B523" s="35" t="s">
        <v>574</v>
      </c>
      <c r="C523" s="31">
        <v>46064</v>
      </c>
      <c r="D523" s="27" t="s">
        <v>11</v>
      </c>
      <c r="E523" s="54" t="s">
        <v>25</v>
      </c>
      <c r="F523" s="242" t="s">
        <v>809</v>
      </c>
      <c r="G523" s="55" t="s">
        <v>27</v>
      </c>
      <c r="H523" s="243">
        <v>24</v>
      </c>
      <c r="I523" s="243">
        <v>1</v>
      </c>
      <c r="J523" s="55" t="s">
        <v>15</v>
      </c>
      <c r="K523" s="28" t="s">
        <v>349</v>
      </c>
      <c r="L523" s="28" t="s">
        <v>161</v>
      </c>
      <c r="M523" s="28">
        <v>251673</v>
      </c>
      <c r="N523" s="22" t="s">
        <v>166</v>
      </c>
      <c r="O523" s="22"/>
      <c r="P523" s="22" t="s">
        <v>11</v>
      </c>
    </row>
    <row r="524" spans="1:16" ht="19.2" thickTop="1" thickBot="1" x14ac:dyDescent="0.4">
      <c r="A524" s="28">
        <f>WEEKNUM(Table1[[#This Row],[Date]])</f>
        <v>7</v>
      </c>
      <c r="B524" s="35" t="s">
        <v>574</v>
      </c>
      <c r="C524" s="31">
        <v>46064</v>
      </c>
      <c r="D524" s="27" t="s">
        <v>11</v>
      </c>
      <c r="E524" s="54" t="s">
        <v>25</v>
      </c>
      <c r="F524" s="242" t="s">
        <v>810</v>
      </c>
      <c r="G524" s="50" t="s">
        <v>8</v>
      </c>
      <c r="H524" s="236">
        <v>4</v>
      </c>
      <c r="I524" s="236">
        <v>0</v>
      </c>
      <c r="J524" s="50"/>
      <c r="K524" s="28" t="s">
        <v>934</v>
      </c>
      <c r="L524" s="28" t="s">
        <v>934</v>
      </c>
      <c r="M524" s="28"/>
      <c r="N524" s="28" t="s">
        <v>934</v>
      </c>
      <c r="O524" s="22"/>
      <c r="P524" s="29" t="s">
        <v>171</v>
      </c>
    </row>
    <row r="525" spans="1:16" ht="19.2" thickTop="1" thickBot="1" x14ac:dyDescent="0.4">
      <c r="A525" s="28">
        <f>WEEKNUM(Table1[[#This Row],[Date]])</f>
        <v>7</v>
      </c>
      <c r="B525" s="35" t="s">
        <v>574</v>
      </c>
      <c r="C525" s="31">
        <v>46064</v>
      </c>
      <c r="D525" s="27" t="s">
        <v>11</v>
      </c>
      <c r="E525" s="54" t="s">
        <v>25</v>
      </c>
      <c r="F525" s="242" t="s">
        <v>811</v>
      </c>
      <c r="G525" s="55" t="s">
        <v>27</v>
      </c>
      <c r="H525" s="243">
        <v>54</v>
      </c>
      <c r="I525" s="243">
        <v>1</v>
      </c>
      <c r="J525" s="55" t="s">
        <v>15</v>
      </c>
      <c r="K525" s="28" t="s">
        <v>349</v>
      </c>
      <c r="L525" s="28" t="s">
        <v>161</v>
      </c>
      <c r="M525" s="28">
        <v>251674</v>
      </c>
      <c r="N525" s="22" t="s">
        <v>166</v>
      </c>
      <c r="O525" s="22"/>
      <c r="P525" s="22" t="s">
        <v>11</v>
      </c>
    </row>
    <row r="526" spans="1:16" ht="19.2" thickTop="1" thickBot="1" x14ac:dyDescent="0.4">
      <c r="A526" s="28">
        <f>WEEKNUM(Table1[[#This Row],[Date]])</f>
        <v>7</v>
      </c>
      <c r="B526" s="35" t="s">
        <v>574</v>
      </c>
      <c r="C526" s="31">
        <v>46064</v>
      </c>
      <c r="D526" s="27" t="s">
        <v>11</v>
      </c>
      <c r="E526" s="54" t="s">
        <v>25</v>
      </c>
      <c r="F526" s="242" t="s">
        <v>812</v>
      </c>
      <c r="G526" s="50" t="s">
        <v>27</v>
      </c>
      <c r="H526" s="236">
        <v>24</v>
      </c>
      <c r="I526" s="236">
        <v>1</v>
      </c>
      <c r="J526" s="50" t="s">
        <v>17</v>
      </c>
      <c r="K526" s="28" t="s">
        <v>349</v>
      </c>
      <c r="L526" s="28" t="s">
        <v>118</v>
      </c>
      <c r="M526" s="28">
        <v>251675</v>
      </c>
      <c r="N526" s="22" t="s">
        <v>164</v>
      </c>
      <c r="O526" s="22" t="s">
        <v>530</v>
      </c>
      <c r="P526" s="22" t="s">
        <v>11</v>
      </c>
    </row>
    <row r="527" spans="1:16" ht="19.2" thickTop="1" thickBot="1" x14ac:dyDescent="0.4">
      <c r="A527" s="28">
        <f>WEEKNUM(Table1[[#This Row],[Date]])</f>
        <v>7</v>
      </c>
      <c r="B527" s="35" t="s">
        <v>574</v>
      </c>
      <c r="C527" s="31">
        <v>46064</v>
      </c>
      <c r="D527" s="27" t="s">
        <v>332</v>
      </c>
      <c r="E527" s="54" t="s">
        <v>38</v>
      </c>
      <c r="F527" s="242" t="s">
        <v>108</v>
      </c>
      <c r="G527" s="55" t="s">
        <v>8</v>
      </c>
      <c r="H527" s="243"/>
      <c r="I527" s="243">
        <v>1</v>
      </c>
      <c r="J527" s="55" t="s">
        <v>817</v>
      </c>
      <c r="K527" s="28" t="s">
        <v>353</v>
      </c>
      <c r="L527" s="28" t="s">
        <v>344</v>
      </c>
      <c r="M527" s="28">
        <v>202302679</v>
      </c>
      <c r="N527" s="22" t="s">
        <v>166</v>
      </c>
      <c r="O527" s="22" t="s">
        <v>813</v>
      </c>
      <c r="P527" s="22" t="s">
        <v>14</v>
      </c>
    </row>
    <row r="528" spans="1:16" ht="19.2" thickTop="1" thickBot="1" x14ac:dyDescent="0.4">
      <c r="A528" s="28">
        <f>WEEKNUM(Table1[[#This Row],[Date]])</f>
        <v>7</v>
      </c>
      <c r="B528" s="35" t="s">
        <v>574</v>
      </c>
      <c r="C528" s="31">
        <v>46064</v>
      </c>
      <c r="D528" s="27" t="s">
        <v>332</v>
      </c>
      <c r="E528" s="54" t="s">
        <v>38</v>
      </c>
      <c r="F528" s="242" t="s">
        <v>747</v>
      </c>
      <c r="G528" s="50" t="s">
        <v>8</v>
      </c>
      <c r="H528" s="236"/>
      <c r="I528" s="236">
        <v>1</v>
      </c>
      <c r="J528" s="50" t="s">
        <v>17</v>
      </c>
      <c r="K528" s="28" t="s">
        <v>353</v>
      </c>
      <c r="L528" s="28" t="s">
        <v>13</v>
      </c>
      <c r="M528" s="28">
        <v>202302680</v>
      </c>
      <c r="N528" s="22" t="s">
        <v>166</v>
      </c>
      <c r="O528" s="22" t="s">
        <v>813</v>
      </c>
      <c r="P528" s="22" t="s">
        <v>14</v>
      </c>
    </row>
    <row r="529" spans="1:16" ht="19.2" thickTop="1" thickBot="1" x14ac:dyDescent="0.4">
      <c r="A529" s="28">
        <f>WEEKNUM(Table1[[#This Row],[Date]])</f>
        <v>7</v>
      </c>
      <c r="B529" s="35" t="s">
        <v>574</v>
      </c>
      <c r="C529" s="31">
        <v>46064</v>
      </c>
      <c r="D529" s="27" t="s">
        <v>286</v>
      </c>
      <c r="E529" s="54" t="s">
        <v>38</v>
      </c>
      <c r="F529" s="242" t="s">
        <v>439</v>
      </c>
      <c r="G529" s="55" t="s">
        <v>8</v>
      </c>
      <c r="H529" s="243"/>
      <c r="I529" s="243">
        <v>1</v>
      </c>
      <c r="J529" s="55" t="s">
        <v>818</v>
      </c>
      <c r="K529" s="28" t="s">
        <v>353</v>
      </c>
      <c r="L529" s="28" t="s">
        <v>344</v>
      </c>
      <c r="M529" s="28">
        <v>202302681</v>
      </c>
      <c r="N529" s="22" t="s">
        <v>166</v>
      </c>
      <c r="O529" s="22" t="s">
        <v>814</v>
      </c>
      <c r="P529" s="22" t="s">
        <v>14</v>
      </c>
    </row>
    <row r="530" spans="1:16" ht="37.200000000000003" thickTop="1" thickBot="1" x14ac:dyDescent="0.4">
      <c r="A530" s="28">
        <f>WEEKNUM(Table1[[#This Row],[Date]])</f>
        <v>7</v>
      </c>
      <c r="B530" s="35" t="s">
        <v>574</v>
      </c>
      <c r="C530" s="31">
        <v>46064</v>
      </c>
      <c r="D530" s="27" t="s">
        <v>286</v>
      </c>
      <c r="E530" s="54" t="s">
        <v>38</v>
      </c>
      <c r="F530" s="242" t="s">
        <v>815</v>
      </c>
      <c r="G530" s="50" t="s">
        <v>8</v>
      </c>
      <c r="H530" s="236">
        <v>5</v>
      </c>
      <c r="I530" s="236">
        <v>1</v>
      </c>
      <c r="J530" s="50"/>
      <c r="K530" s="28" t="s">
        <v>479</v>
      </c>
      <c r="L530" s="28" t="s">
        <v>55</v>
      </c>
      <c r="M530" s="28">
        <v>202302682</v>
      </c>
      <c r="N530" s="22" t="s">
        <v>165</v>
      </c>
      <c r="O530" s="22" t="s">
        <v>816</v>
      </c>
      <c r="P530" s="22" t="s">
        <v>286</v>
      </c>
    </row>
    <row r="531" spans="1:16" ht="19.2" thickTop="1" thickBot="1" x14ac:dyDescent="0.4">
      <c r="A531" s="28">
        <f>WEEKNUM(Table1[[#This Row],[Date]])</f>
        <v>7</v>
      </c>
      <c r="B531" s="35" t="s">
        <v>574</v>
      </c>
      <c r="C531" s="31">
        <v>46064</v>
      </c>
      <c r="D531" s="27" t="s">
        <v>332</v>
      </c>
      <c r="E531" s="54"/>
      <c r="F531" s="242"/>
      <c r="G531" s="55" t="s">
        <v>27</v>
      </c>
      <c r="H531" s="243">
        <f>34-H530</f>
        <v>29</v>
      </c>
      <c r="I531" s="243">
        <v>0</v>
      </c>
      <c r="J531" s="55"/>
      <c r="K531" s="28" t="s">
        <v>934</v>
      </c>
      <c r="L531" s="28" t="s">
        <v>934</v>
      </c>
      <c r="M531" s="28"/>
      <c r="N531" s="28" t="s">
        <v>934</v>
      </c>
      <c r="O531" s="22"/>
      <c r="P531" s="29" t="s">
        <v>171</v>
      </c>
    </row>
    <row r="532" spans="1:16" ht="19.2" thickTop="1" thickBot="1" x14ac:dyDescent="0.4">
      <c r="A532" s="28">
        <f>WEEKNUM(Table1[[#This Row],[Date]])</f>
        <v>7</v>
      </c>
      <c r="B532" s="35" t="s">
        <v>574</v>
      </c>
      <c r="C532" s="31">
        <v>46065</v>
      </c>
      <c r="D532" s="27" t="s">
        <v>11</v>
      </c>
      <c r="E532" s="54" t="s">
        <v>18</v>
      </c>
      <c r="F532" s="242" t="s">
        <v>819</v>
      </c>
      <c r="G532" s="50" t="s">
        <v>27</v>
      </c>
      <c r="H532" s="236">
        <v>7</v>
      </c>
      <c r="I532" s="236">
        <v>0</v>
      </c>
      <c r="J532" s="50"/>
      <c r="K532" s="28" t="s">
        <v>934</v>
      </c>
      <c r="L532" s="28" t="s">
        <v>934</v>
      </c>
      <c r="M532" s="28"/>
      <c r="N532" s="28" t="s">
        <v>934</v>
      </c>
      <c r="O532" s="22"/>
      <c r="P532" s="29" t="s">
        <v>171</v>
      </c>
    </row>
    <row r="533" spans="1:16" ht="19.2" thickTop="1" thickBot="1" x14ac:dyDescent="0.4">
      <c r="A533" s="28">
        <f>WEEKNUM(Table1[[#This Row],[Date]])</f>
        <v>7</v>
      </c>
      <c r="B533" s="35" t="s">
        <v>574</v>
      </c>
      <c r="C533" s="31">
        <v>46065</v>
      </c>
      <c r="D533" s="27" t="s">
        <v>11</v>
      </c>
      <c r="E533" s="54" t="s">
        <v>18</v>
      </c>
      <c r="F533" s="242" t="s">
        <v>820</v>
      </c>
      <c r="G533" s="55" t="s">
        <v>27</v>
      </c>
      <c r="H533" s="243">
        <v>15</v>
      </c>
      <c r="I533" s="243">
        <v>0</v>
      </c>
      <c r="J533" s="55"/>
      <c r="K533" s="28" t="s">
        <v>934</v>
      </c>
      <c r="L533" s="28" t="s">
        <v>934</v>
      </c>
      <c r="M533" s="28"/>
      <c r="N533" s="28" t="s">
        <v>934</v>
      </c>
      <c r="O533" s="22"/>
      <c r="P533" s="29" t="s">
        <v>171</v>
      </c>
    </row>
    <row r="534" spans="1:16" ht="19.2" thickTop="1" thickBot="1" x14ac:dyDescent="0.4">
      <c r="A534" s="28">
        <f>WEEKNUM(Table1[[#This Row],[Date]])</f>
        <v>7</v>
      </c>
      <c r="B534" s="35" t="s">
        <v>574</v>
      </c>
      <c r="C534" s="31">
        <v>46065</v>
      </c>
      <c r="D534" s="27" t="s">
        <v>11</v>
      </c>
      <c r="E534" s="54" t="s">
        <v>18</v>
      </c>
      <c r="F534" s="242" t="s">
        <v>821</v>
      </c>
      <c r="G534" s="50" t="s">
        <v>27</v>
      </c>
      <c r="H534" s="236">
        <v>49</v>
      </c>
      <c r="I534" s="236">
        <v>1</v>
      </c>
      <c r="J534" s="50" t="s">
        <v>822</v>
      </c>
      <c r="K534" s="28" t="s">
        <v>740</v>
      </c>
      <c r="L534" s="28" t="s">
        <v>466</v>
      </c>
      <c r="M534" s="28">
        <v>251776</v>
      </c>
      <c r="N534" s="22" t="s">
        <v>166</v>
      </c>
      <c r="O534" s="22" t="s">
        <v>823</v>
      </c>
      <c r="P534" s="22" t="s">
        <v>11</v>
      </c>
    </row>
    <row r="535" spans="1:16" ht="19.2" thickTop="1" thickBot="1" x14ac:dyDescent="0.4">
      <c r="A535" s="28">
        <f>WEEKNUM(Table1[[#This Row],[Date]])</f>
        <v>7</v>
      </c>
      <c r="B535" s="35" t="s">
        <v>574</v>
      </c>
      <c r="C535" s="31">
        <v>46065</v>
      </c>
      <c r="D535" s="27" t="s">
        <v>11</v>
      </c>
      <c r="E535" s="54" t="s">
        <v>18</v>
      </c>
      <c r="F535" s="242" t="s">
        <v>784</v>
      </c>
      <c r="G535" s="55" t="s">
        <v>8</v>
      </c>
      <c r="H535" s="243">
        <v>1</v>
      </c>
      <c r="I535" s="243">
        <v>0</v>
      </c>
      <c r="J535" s="55"/>
      <c r="K535" s="28" t="s">
        <v>934</v>
      </c>
      <c r="L535" s="28" t="s">
        <v>934</v>
      </c>
      <c r="M535" s="28"/>
      <c r="N535" s="28" t="s">
        <v>934</v>
      </c>
      <c r="O535" s="22"/>
      <c r="P535" s="29" t="s">
        <v>171</v>
      </c>
    </row>
    <row r="536" spans="1:16" ht="19.2" thickTop="1" thickBot="1" x14ac:dyDescent="0.4">
      <c r="A536" s="28">
        <f>WEEKNUM(Table1[[#This Row],[Date]])</f>
        <v>7</v>
      </c>
      <c r="B536" s="35" t="s">
        <v>574</v>
      </c>
      <c r="C536" s="31">
        <v>46065</v>
      </c>
      <c r="D536" s="27" t="s">
        <v>11</v>
      </c>
      <c r="E536" s="54" t="s">
        <v>18</v>
      </c>
      <c r="F536" s="242" t="s">
        <v>800</v>
      </c>
      <c r="G536" s="50" t="s">
        <v>8</v>
      </c>
      <c r="H536" s="236">
        <v>1</v>
      </c>
      <c r="I536" s="236">
        <v>0</v>
      </c>
      <c r="J536" s="50"/>
      <c r="K536" s="28" t="s">
        <v>934</v>
      </c>
      <c r="L536" s="28" t="s">
        <v>934</v>
      </c>
      <c r="M536" s="28"/>
      <c r="N536" s="28" t="s">
        <v>934</v>
      </c>
      <c r="O536" s="22"/>
      <c r="P536" s="29" t="s">
        <v>171</v>
      </c>
    </row>
    <row r="537" spans="1:16" ht="19.2" thickTop="1" thickBot="1" x14ac:dyDescent="0.4">
      <c r="A537" s="28">
        <f>WEEKNUM(Table1[[#This Row],[Date]])</f>
        <v>7</v>
      </c>
      <c r="B537" s="35" t="s">
        <v>574</v>
      </c>
      <c r="C537" s="31">
        <v>46065</v>
      </c>
      <c r="D537" s="27" t="s">
        <v>11</v>
      </c>
      <c r="E537" s="54" t="s">
        <v>18</v>
      </c>
      <c r="F537" s="242" t="s">
        <v>824</v>
      </c>
      <c r="G537" s="55" t="s">
        <v>8</v>
      </c>
      <c r="H537" s="243">
        <v>10</v>
      </c>
      <c r="I537" s="243">
        <v>0</v>
      </c>
      <c r="J537" s="55"/>
      <c r="K537" s="28" t="s">
        <v>934</v>
      </c>
      <c r="L537" s="28" t="s">
        <v>934</v>
      </c>
      <c r="M537" s="28"/>
      <c r="N537" s="28" t="s">
        <v>934</v>
      </c>
      <c r="O537" s="22"/>
      <c r="P537" s="29" t="s">
        <v>171</v>
      </c>
    </row>
    <row r="538" spans="1:16" ht="19.2" thickTop="1" thickBot="1" x14ac:dyDescent="0.4">
      <c r="A538" s="28">
        <f>WEEKNUM(Table1[[#This Row],[Date]])</f>
        <v>7</v>
      </c>
      <c r="B538" s="35" t="s">
        <v>574</v>
      </c>
      <c r="C538" s="31">
        <v>46065</v>
      </c>
      <c r="D538" s="27" t="s">
        <v>11</v>
      </c>
      <c r="E538" s="54" t="s">
        <v>18</v>
      </c>
      <c r="F538" s="242" t="s">
        <v>825</v>
      </c>
      <c r="G538" s="50" t="s">
        <v>27</v>
      </c>
      <c r="H538" s="236">
        <v>8</v>
      </c>
      <c r="I538" s="236">
        <v>0</v>
      </c>
      <c r="J538" s="50"/>
      <c r="K538" s="28" t="s">
        <v>934</v>
      </c>
      <c r="L538" s="28" t="s">
        <v>934</v>
      </c>
      <c r="M538" s="28"/>
      <c r="N538" s="28" t="s">
        <v>934</v>
      </c>
      <c r="O538" s="22"/>
      <c r="P538" s="29" t="s">
        <v>171</v>
      </c>
    </row>
    <row r="539" spans="1:16" ht="19.2" thickTop="1" thickBot="1" x14ac:dyDescent="0.4">
      <c r="A539" s="28">
        <f>WEEKNUM(Table1[[#This Row],[Date]])</f>
        <v>7</v>
      </c>
      <c r="B539" s="35" t="s">
        <v>574</v>
      </c>
      <c r="C539" s="31">
        <v>46065</v>
      </c>
      <c r="D539" s="27" t="s">
        <v>11</v>
      </c>
      <c r="E539" s="54" t="s">
        <v>25</v>
      </c>
      <c r="F539" s="242" t="s">
        <v>826</v>
      </c>
      <c r="G539" s="55" t="s">
        <v>8</v>
      </c>
      <c r="H539" s="243">
        <v>5</v>
      </c>
      <c r="I539" s="243">
        <v>1</v>
      </c>
      <c r="J539" s="55" t="s">
        <v>9</v>
      </c>
      <c r="K539" s="28" t="s">
        <v>349</v>
      </c>
      <c r="L539" s="28" t="s">
        <v>93</v>
      </c>
      <c r="M539" s="28">
        <v>251777</v>
      </c>
      <c r="N539" s="22" t="s">
        <v>164</v>
      </c>
      <c r="O539" s="22" t="s">
        <v>827</v>
      </c>
      <c r="P539" s="22" t="s">
        <v>11</v>
      </c>
    </row>
    <row r="540" spans="1:16" ht="19.2" thickTop="1" thickBot="1" x14ac:dyDescent="0.4">
      <c r="A540" s="28">
        <f>WEEKNUM(Table1[[#This Row],[Date]])</f>
        <v>7</v>
      </c>
      <c r="B540" s="35" t="s">
        <v>574</v>
      </c>
      <c r="C540" s="31">
        <v>46065</v>
      </c>
      <c r="D540" s="27" t="s">
        <v>11</v>
      </c>
      <c r="E540" s="54" t="s">
        <v>25</v>
      </c>
      <c r="F540" s="242" t="s">
        <v>828</v>
      </c>
      <c r="G540" s="50" t="s">
        <v>27</v>
      </c>
      <c r="H540" s="236">
        <v>6</v>
      </c>
      <c r="I540" s="236">
        <v>0</v>
      </c>
      <c r="J540" s="50"/>
      <c r="K540" s="28" t="s">
        <v>934</v>
      </c>
      <c r="L540" s="28" t="s">
        <v>934</v>
      </c>
      <c r="M540" s="28"/>
      <c r="N540" s="28" t="s">
        <v>934</v>
      </c>
      <c r="O540" s="22"/>
      <c r="P540" s="29" t="s">
        <v>171</v>
      </c>
    </row>
    <row r="541" spans="1:16" ht="19.2" thickTop="1" thickBot="1" x14ac:dyDescent="0.4">
      <c r="A541" s="28">
        <f>WEEKNUM(Table1[[#This Row],[Date]])</f>
        <v>7</v>
      </c>
      <c r="B541" s="35" t="s">
        <v>574</v>
      </c>
      <c r="C541" s="31">
        <v>46065</v>
      </c>
      <c r="D541" s="27" t="s">
        <v>11</v>
      </c>
      <c r="E541" s="54" t="s">
        <v>25</v>
      </c>
      <c r="F541" s="242" t="s">
        <v>829</v>
      </c>
      <c r="G541" s="55" t="s">
        <v>27</v>
      </c>
      <c r="H541" s="243">
        <v>36</v>
      </c>
      <c r="I541" s="243">
        <v>1</v>
      </c>
      <c r="J541" s="55" t="s">
        <v>12</v>
      </c>
      <c r="K541" s="28" t="s">
        <v>61</v>
      </c>
      <c r="L541" s="28" t="s">
        <v>118</v>
      </c>
      <c r="M541" s="28">
        <v>251778</v>
      </c>
      <c r="N541" s="22" t="s">
        <v>164</v>
      </c>
      <c r="O541" s="22" t="s">
        <v>571</v>
      </c>
      <c r="P541" s="22" t="s">
        <v>16</v>
      </c>
    </row>
    <row r="542" spans="1:16" ht="19.2" thickTop="1" thickBot="1" x14ac:dyDescent="0.4">
      <c r="A542" s="28">
        <f>WEEKNUM(Table1[[#This Row],[Date]])</f>
        <v>7</v>
      </c>
      <c r="B542" s="35" t="s">
        <v>574</v>
      </c>
      <c r="C542" s="31">
        <v>46065</v>
      </c>
      <c r="D542" s="27" t="s">
        <v>11</v>
      </c>
      <c r="E542" s="54" t="s">
        <v>25</v>
      </c>
      <c r="F542" s="242" t="s">
        <v>830</v>
      </c>
      <c r="G542" s="50" t="s">
        <v>27</v>
      </c>
      <c r="H542" s="236">
        <v>20</v>
      </c>
      <c r="I542" s="236">
        <v>1</v>
      </c>
      <c r="J542" s="50" t="s">
        <v>12</v>
      </c>
      <c r="K542" s="28" t="s">
        <v>61</v>
      </c>
      <c r="L542" s="28" t="s">
        <v>466</v>
      </c>
      <c r="M542" s="28">
        <v>251779</v>
      </c>
      <c r="N542" s="22" t="s">
        <v>166</v>
      </c>
      <c r="O542" s="22"/>
      <c r="P542" s="22" t="s">
        <v>16</v>
      </c>
    </row>
    <row r="543" spans="1:16" ht="19.2" thickTop="1" thickBot="1" x14ac:dyDescent="0.4">
      <c r="A543" s="28">
        <f>WEEKNUM(Table1[[#This Row],[Date]])</f>
        <v>7</v>
      </c>
      <c r="B543" s="35" t="s">
        <v>574</v>
      </c>
      <c r="C543" s="31">
        <v>46065</v>
      </c>
      <c r="D543" s="27" t="s">
        <v>11</v>
      </c>
      <c r="E543" s="54" t="s">
        <v>25</v>
      </c>
      <c r="F543" s="242" t="s">
        <v>831</v>
      </c>
      <c r="G543" s="55" t="s">
        <v>27</v>
      </c>
      <c r="H543" s="243">
        <v>32</v>
      </c>
      <c r="I543" s="243">
        <v>0</v>
      </c>
      <c r="J543" s="55"/>
      <c r="K543" s="28" t="s">
        <v>934</v>
      </c>
      <c r="L543" s="28" t="s">
        <v>934</v>
      </c>
      <c r="M543" s="28"/>
      <c r="N543" s="28" t="s">
        <v>934</v>
      </c>
      <c r="O543" s="22"/>
      <c r="P543" s="29" t="s">
        <v>171</v>
      </c>
    </row>
    <row r="544" spans="1:16" ht="19.2" thickTop="1" thickBot="1" x14ac:dyDescent="0.4">
      <c r="A544" s="28">
        <f>WEEKNUM(Table1[[#This Row],[Date]])</f>
        <v>7</v>
      </c>
      <c r="B544" s="35" t="s">
        <v>574</v>
      </c>
      <c r="C544" s="31">
        <v>46065</v>
      </c>
      <c r="D544" s="27" t="s">
        <v>286</v>
      </c>
      <c r="E544" s="54" t="s">
        <v>38</v>
      </c>
      <c r="F544" s="242" t="s">
        <v>832</v>
      </c>
      <c r="G544" s="50" t="s">
        <v>8</v>
      </c>
      <c r="H544" s="236"/>
      <c r="I544" s="236">
        <v>1</v>
      </c>
      <c r="J544" s="50" t="s">
        <v>197</v>
      </c>
      <c r="K544" s="28" t="s">
        <v>353</v>
      </c>
      <c r="L544" s="28" t="s">
        <v>547</v>
      </c>
      <c r="M544" s="28">
        <v>202302683</v>
      </c>
      <c r="N544" s="22" t="s">
        <v>164</v>
      </c>
      <c r="O544" s="22" t="s">
        <v>372</v>
      </c>
      <c r="P544" s="22" t="s">
        <v>14</v>
      </c>
    </row>
    <row r="545" spans="1:16" ht="19.2" thickTop="1" thickBot="1" x14ac:dyDescent="0.4">
      <c r="A545" s="28">
        <f>WEEKNUM(Table1[[#This Row],[Date]])</f>
        <v>7</v>
      </c>
      <c r="B545" s="35" t="s">
        <v>574</v>
      </c>
      <c r="C545" s="31">
        <v>46065</v>
      </c>
      <c r="D545" s="27" t="s">
        <v>286</v>
      </c>
      <c r="E545" s="54" t="s">
        <v>38</v>
      </c>
      <c r="F545" s="242" t="s">
        <v>833</v>
      </c>
      <c r="G545" s="55" t="s">
        <v>8</v>
      </c>
      <c r="H545" s="243"/>
      <c r="I545" s="243">
        <v>1</v>
      </c>
      <c r="J545" s="55" t="s">
        <v>197</v>
      </c>
      <c r="K545" s="28" t="s">
        <v>353</v>
      </c>
      <c r="L545" s="28" t="s">
        <v>180</v>
      </c>
      <c r="M545" s="28">
        <v>202302684</v>
      </c>
      <c r="N545" s="22" t="s">
        <v>166</v>
      </c>
      <c r="O545" s="22" t="s">
        <v>515</v>
      </c>
      <c r="P545" s="22" t="s">
        <v>14</v>
      </c>
    </row>
    <row r="546" spans="1:16" ht="19.2" thickTop="1" thickBot="1" x14ac:dyDescent="0.4">
      <c r="A546" s="28">
        <f>WEEKNUM(Table1[[#This Row],[Date]])</f>
        <v>7</v>
      </c>
      <c r="B546" s="35" t="s">
        <v>574</v>
      </c>
      <c r="C546" s="31">
        <v>46065</v>
      </c>
      <c r="D546" s="27" t="s">
        <v>332</v>
      </c>
      <c r="E546" s="54" t="s">
        <v>38</v>
      </c>
      <c r="F546" s="242" t="s">
        <v>834</v>
      </c>
      <c r="G546" s="50" t="s">
        <v>8</v>
      </c>
      <c r="H546" s="236">
        <v>5</v>
      </c>
      <c r="I546" s="236">
        <v>1</v>
      </c>
      <c r="J546" s="50" t="s">
        <v>838</v>
      </c>
      <c r="K546" s="28" t="s">
        <v>353</v>
      </c>
      <c r="L546" s="28" t="s">
        <v>344</v>
      </c>
      <c r="M546" s="28">
        <v>202302685</v>
      </c>
      <c r="N546" s="22" t="s">
        <v>166</v>
      </c>
      <c r="O546" s="22" t="s">
        <v>835</v>
      </c>
      <c r="P546" s="22" t="s">
        <v>14</v>
      </c>
    </row>
    <row r="547" spans="1:16" ht="37.200000000000003" thickTop="1" thickBot="1" x14ac:dyDescent="0.4">
      <c r="A547" s="28">
        <f>WEEKNUM(Table1[[#This Row],[Date]])</f>
        <v>7</v>
      </c>
      <c r="B547" s="35" t="s">
        <v>574</v>
      </c>
      <c r="C547" s="31">
        <v>46065</v>
      </c>
      <c r="D547" s="27" t="s">
        <v>332</v>
      </c>
      <c r="E547" s="54" t="s">
        <v>38</v>
      </c>
      <c r="F547" s="242" t="s">
        <v>836</v>
      </c>
      <c r="G547" s="55" t="s">
        <v>27</v>
      </c>
      <c r="H547" s="243">
        <v>24</v>
      </c>
      <c r="I547" s="243">
        <v>1</v>
      </c>
      <c r="J547" s="55" t="s">
        <v>12</v>
      </c>
      <c r="K547" s="28" t="s">
        <v>479</v>
      </c>
      <c r="L547" s="28" t="s">
        <v>682</v>
      </c>
      <c r="M547" s="28">
        <v>202302686</v>
      </c>
      <c r="N547" s="22" t="s">
        <v>164</v>
      </c>
      <c r="O547" s="22" t="s">
        <v>837</v>
      </c>
      <c r="P547" s="22" t="s">
        <v>46</v>
      </c>
    </row>
    <row r="548" spans="1:16" ht="21.6" thickTop="1" x14ac:dyDescent="0.3">
      <c r="A548" s="28">
        <f>WEEKNUM(Table1[[#This Row],[Date]])</f>
        <v>7</v>
      </c>
      <c r="B548" s="35" t="s">
        <v>574</v>
      </c>
      <c r="C548" s="31">
        <v>46066</v>
      </c>
      <c r="D548" s="27" t="s">
        <v>11</v>
      </c>
      <c r="E548" s="33" t="s">
        <v>18</v>
      </c>
      <c r="F548" s="28" t="s">
        <v>839</v>
      </c>
      <c r="G548" s="28" t="s">
        <v>8</v>
      </c>
      <c r="H548" s="24">
        <v>5</v>
      </c>
      <c r="I548" s="24">
        <v>0</v>
      </c>
      <c r="J548" s="28"/>
      <c r="K548" s="28" t="s">
        <v>934</v>
      </c>
      <c r="L548" s="28" t="s">
        <v>934</v>
      </c>
      <c r="M548" s="28"/>
      <c r="N548" s="28" t="s">
        <v>934</v>
      </c>
      <c r="O548" s="22"/>
      <c r="P548" s="29" t="s">
        <v>171</v>
      </c>
    </row>
    <row r="549" spans="1:16" ht="21" x14ac:dyDescent="0.3">
      <c r="A549" s="28">
        <f>WEEKNUM(Table1[[#This Row],[Date]])</f>
        <v>7</v>
      </c>
      <c r="B549" s="35" t="s">
        <v>574</v>
      </c>
      <c r="C549" s="31">
        <v>46066</v>
      </c>
      <c r="D549" s="27" t="s">
        <v>11</v>
      </c>
      <c r="E549" s="33" t="s">
        <v>18</v>
      </c>
      <c r="F549" s="28" t="s">
        <v>840</v>
      </c>
      <c r="G549" s="28" t="s">
        <v>8</v>
      </c>
      <c r="H549" s="24">
        <v>7</v>
      </c>
      <c r="I549" s="24">
        <v>1</v>
      </c>
      <c r="J549" s="28" t="s">
        <v>157</v>
      </c>
      <c r="K549" s="28" t="s">
        <v>349</v>
      </c>
      <c r="L549" s="28" t="s">
        <v>35</v>
      </c>
      <c r="M549" s="28">
        <v>251780</v>
      </c>
      <c r="N549" s="22" t="s">
        <v>166</v>
      </c>
      <c r="O549" s="22" t="s">
        <v>823</v>
      </c>
      <c r="P549" s="22" t="s">
        <v>11</v>
      </c>
    </row>
    <row r="550" spans="1:16" ht="21" x14ac:dyDescent="0.3">
      <c r="A550" s="28">
        <f>WEEKNUM(Table1[[#This Row],[Date]])</f>
        <v>7</v>
      </c>
      <c r="B550" s="35" t="s">
        <v>574</v>
      </c>
      <c r="C550" s="31">
        <v>46066</v>
      </c>
      <c r="D550" s="27" t="s">
        <v>11</v>
      </c>
      <c r="E550" s="33" t="s">
        <v>18</v>
      </c>
      <c r="F550" s="28" t="s">
        <v>841</v>
      </c>
      <c r="G550" s="28" t="s">
        <v>27</v>
      </c>
      <c r="H550" s="24">
        <v>8</v>
      </c>
      <c r="I550" s="24">
        <v>0</v>
      </c>
      <c r="J550" s="28"/>
      <c r="K550" s="28" t="s">
        <v>934</v>
      </c>
      <c r="L550" s="28" t="s">
        <v>934</v>
      </c>
      <c r="M550" s="28"/>
      <c r="N550" s="28" t="s">
        <v>934</v>
      </c>
      <c r="O550" s="22"/>
      <c r="P550" s="29" t="s">
        <v>171</v>
      </c>
    </row>
    <row r="551" spans="1:16" ht="21" x14ac:dyDescent="0.3">
      <c r="A551" s="28">
        <f>WEEKNUM(Table1[[#This Row],[Date]])</f>
        <v>7</v>
      </c>
      <c r="B551" s="35" t="s">
        <v>574</v>
      </c>
      <c r="C551" s="31">
        <v>46066</v>
      </c>
      <c r="D551" s="27" t="s">
        <v>11</v>
      </c>
      <c r="E551" s="33" t="s">
        <v>18</v>
      </c>
      <c r="F551" s="28" t="s">
        <v>842</v>
      </c>
      <c r="G551" s="28" t="s">
        <v>27</v>
      </c>
      <c r="H551" s="24">
        <v>36</v>
      </c>
      <c r="I551" s="24">
        <v>0</v>
      </c>
      <c r="J551" s="28"/>
      <c r="K551" s="28" t="s">
        <v>934</v>
      </c>
      <c r="L551" s="28" t="s">
        <v>934</v>
      </c>
      <c r="M551" s="28"/>
      <c r="N551" s="28" t="s">
        <v>934</v>
      </c>
      <c r="O551" s="22"/>
      <c r="P551" s="29" t="s">
        <v>171</v>
      </c>
    </row>
    <row r="552" spans="1:16" ht="21" x14ac:dyDescent="0.3">
      <c r="A552" s="28">
        <f>WEEKNUM(Table1[[#This Row],[Date]])</f>
        <v>7</v>
      </c>
      <c r="B552" s="35" t="s">
        <v>574</v>
      </c>
      <c r="C552" s="31">
        <v>46066</v>
      </c>
      <c r="D552" s="27" t="s">
        <v>11</v>
      </c>
      <c r="E552" s="33" t="s">
        <v>18</v>
      </c>
      <c r="F552" s="28" t="s">
        <v>843</v>
      </c>
      <c r="G552" s="28" t="s">
        <v>27</v>
      </c>
      <c r="H552" s="24">
        <v>5</v>
      </c>
      <c r="I552" s="24">
        <v>1</v>
      </c>
      <c r="J552" s="28" t="s">
        <v>822</v>
      </c>
      <c r="K552" s="28" t="s">
        <v>349</v>
      </c>
      <c r="L552" s="28" t="s">
        <v>466</v>
      </c>
      <c r="M552" s="28">
        <v>251781</v>
      </c>
      <c r="N552" s="22" t="s">
        <v>166</v>
      </c>
      <c r="O552" s="22" t="s">
        <v>823</v>
      </c>
      <c r="P552" s="22" t="s">
        <v>11</v>
      </c>
    </row>
    <row r="553" spans="1:16" ht="21" x14ac:dyDescent="0.3">
      <c r="A553" s="28">
        <f>WEEKNUM(Table1[[#This Row],[Date]])</f>
        <v>7</v>
      </c>
      <c r="B553" s="35" t="s">
        <v>574</v>
      </c>
      <c r="C553" s="31">
        <v>46066</v>
      </c>
      <c r="D553" s="27" t="s">
        <v>11</v>
      </c>
      <c r="E553" s="33" t="s">
        <v>18</v>
      </c>
      <c r="F553" s="28" t="s">
        <v>844</v>
      </c>
      <c r="G553" s="28" t="s">
        <v>27</v>
      </c>
      <c r="H553" s="24">
        <v>7</v>
      </c>
      <c r="I553" s="24">
        <v>0</v>
      </c>
      <c r="J553" s="28"/>
      <c r="K553" s="28" t="s">
        <v>934</v>
      </c>
      <c r="L553" s="28" t="s">
        <v>934</v>
      </c>
      <c r="M553" s="28"/>
      <c r="N553" s="28" t="s">
        <v>934</v>
      </c>
      <c r="O553" s="22"/>
      <c r="P553" s="29" t="s">
        <v>171</v>
      </c>
    </row>
    <row r="554" spans="1:16" ht="21" x14ac:dyDescent="0.3">
      <c r="A554" s="28">
        <f>WEEKNUM(Table1[[#This Row],[Date]])</f>
        <v>7</v>
      </c>
      <c r="B554" s="35" t="s">
        <v>574</v>
      </c>
      <c r="C554" s="31">
        <v>46066</v>
      </c>
      <c r="D554" s="27" t="s">
        <v>11</v>
      </c>
      <c r="E554" s="33" t="s">
        <v>18</v>
      </c>
      <c r="F554" s="28" t="s">
        <v>845</v>
      </c>
      <c r="G554" s="28" t="s">
        <v>8</v>
      </c>
      <c r="H554" s="24">
        <v>3</v>
      </c>
      <c r="I554" s="24">
        <v>0</v>
      </c>
      <c r="J554" s="28"/>
      <c r="K554" s="28" t="s">
        <v>934</v>
      </c>
      <c r="L554" s="28" t="s">
        <v>934</v>
      </c>
      <c r="M554" s="28"/>
      <c r="N554" s="28" t="s">
        <v>934</v>
      </c>
      <c r="O554" s="22"/>
      <c r="P554" s="29" t="s">
        <v>171</v>
      </c>
    </row>
    <row r="555" spans="1:16" ht="21" x14ac:dyDescent="0.3">
      <c r="A555" s="28">
        <f>WEEKNUM(Table1[[#This Row],[Date]])</f>
        <v>7</v>
      </c>
      <c r="B555" s="35" t="s">
        <v>574</v>
      </c>
      <c r="C555" s="31">
        <v>46066</v>
      </c>
      <c r="D555" s="27" t="s">
        <v>11</v>
      </c>
      <c r="E555" s="33" t="s">
        <v>25</v>
      </c>
      <c r="F555" s="28" t="s">
        <v>846</v>
      </c>
      <c r="G555" s="28" t="s">
        <v>27</v>
      </c>
      <c r="H555" s="24">
        <v>48</v>
      </c>
      <c r="I555" s="24">
        <v>1</v>
      </c>
      <c r="J555" s="28" t="s">
        <v>17</v>
      </c>
      <c r="K555" s="28" t="s">
        <v>349</v>
      </c>
      <c r="L555" s="28" t="s">
        <v>51</v>
      </c>
      <c r="M555" s="28">
        <v>251782</v>
      </c>
      <c r="N555" s="22" t="s">
        <v>164</v>
      </c>
      <c r="O555" s="22"/>
      <c r="P555" s="22" t="s">
        <v>11</v>
      </c>
    </row>
    <row r="556" spans="1:16" ht="21" x14ac:dyDescent="0.3">
      <c r="A556" s="28">
        <f>WEEKNUM(Table1[[#This Row],[Date]])</f>
        <v>7</v>
      </c>
      <c r="B556" s="35" t="s">
        <v>574</v>
      </c>
      <c r="C556" s="31">
        <v>46066</v>
      </c>
      <c r="D556" s="27" t="s">
        <v>11</v>
      </c>
      <c r="E556" s="33" t="s">
        <v>25</v>
      </c>
      <c r="F556" s="28" t="s">
        <v>847</v>
      </c>
      <c r="G556" s="28" t="s">
        <v>8</v>
      </c>
      <c r="H556" s="24">
        <v>9</v>
      </c>
      <c r="I556" s="24">
        <v>0</v>
      </c>
      <c r="J556" s="28"/>
      <c r="K556" s="28" t="s">
        <v>934</v>
      </c>
      <c r="L556" s="28" t="s">
        <v>934</v>
      </c>
      <c r="M556" s="28"/>
      <c r="N556" s="28" t="s">
        <v>934</v>
      </c>
      <c r="O556" s="22"/>
      <c r="P556" s="29" t="s">
        <v>171</v>
      </c>
    </row>
    <row r="557" spans="1:16" ht="21" x14ac:dyDescent="0.3">
      <c r="A557" s="28">
        <f>WEEKNUM(Table1[[#This Row],[Date]])</f>
        <v>7</v>
      </c>
      <c r="B557" s="35" t="s">
        <v>574</v>
      </c>
      <c r="C557" s="31">
        <v>46066</v>
      </c>
      <c r="D557" s="27" t="s">
        <v>11</v>
      </c>
      <c r="E557" s="33" t="s">
        <v>25</v>
      </c>
      <c r="F557" s="28" t="s">
        <v>848</v>
      </c>
      <c r="G557" s="28" t="s">
        <v>27</v>
      </c>
      <c r="H557" s="24">
        <v>8</v>
      </c>
      <c r="I557" s="24">
        <v>1</v>
      </c>
      <c r="J557" s="28" t="s">
        <v>9</v>
      </c>
      <c r="K557" s="28" t="s">
        <v>740</v>
      </c>
      <c r="L557" s="28" t="s">
        <v>224</v>
      </c>
      <c r="M557" s="28">
        <v>251783</v>
      </c>
      <c r="N557" s="22" t="s">
        <v>166</v>
      </c>
      <c r="O557" s="22"/>
      <c r="P557" s="22" t="s">
        <v>11</v>
      </c>
    </row>
    <row r="558" spans="1:16" ht="21" x14ac:dyDescent="0.3">
      <c r="A558" s="28">
        <f>WEEKNUM(Table1[[#This Row],[Date]])</f>
        <v>7</v>
      </c>
      <c r="B558" s="35" t="s">
        <v>574</v>
      </c>
      <c r="C558" s="31">
        <v>46066</v>
      </c>
      <c r="D558" s="27" t="s">
        <v>286</v>
      </c>
      <c r="E558" s="33" t="s">
        <v>38</v>
      </c>
      <c r="F558" s="28" t="s">
        <v>849</v>
      </c>
      <c r="G558" s="28" t="s">
        <v>27</v>
      </c>
      <c r="H558" s="24"/>
      <c r="I558" s="24">
        <v>1</v>
      </c>
      <c r="J558" s="28" t="s">
        <v>352</v>
      </c>
      <c r="K558" s="28" t="s">
        <v>353</v>
      </c>
      <c r="L558" s="28" t="s">
        <v>49</v>
      </c>
      <c r="M558" s="28">
        <v>202302687</v>
      </c>
      <c r="N558" s="22" t="s">
        <v>165</v>
      </c>
      <c r="O558" s="22" t="s">
        <v>850</v>
      </c>
      <c r="P558" s="22" t="s">
        <v>14</v>
      </c>
    </row>
    <row r="559" spans="1:16" ht="21" x14ac:dyDescent="0.3">
      <c r="A559" s="28">
        <f>WEEKNUM(Table1[[#This Row],[Date]])</f>
        <v>7</v>
      </c>
      <c r="B559" s="35" t="s">
        <v>574</v>
      </c>
      <c r="C559" s="31">
        <v>46066</v>
      </c>
      <c r="D559" s="27" t="s">
        <v>332</v>
      </c>
      <c r="E559" s="33" t="s">
        <v>38</v>
      </c>
      <c r="F559" s="28" t="s">
        <v>851</v>
      </c>
      <c r="G559" s="28" t="s">
        <v>8</v>
      </c>
      <c r="H559" s="24">
        <v>5</v>
      </c>
      <c r="I559" s="24">
        <v>1</v>
      </c>
      <c r="J559" s="28" t="s">
        <v>12</v>
      </c>
      <c r="K559" s="28" t="s">
        <v>61</v>
      </c>
      <c r="L559" s="28" t="s">
        <v>61</v>
      </c>
      <c r="M559" s="28">
        <v>202302688</v>
      </c>
      <c r="N559" s="22" t="s">
        <v>166</v>
      </c>
      <c r="O559" s="22" t="s">
        <v>718</v>
      </c>
      <c r="P559" s="22" t="s">
        <v>16</v>
      </c>
    </row>
    <row r="560" spans="1:16" ht="36" x14ac:dyDescent="0.3">
      <c r="A560" s="28">
        <f>WEEKNUM(Table1[[#This Row],[Date]])</f>
        <v>7</v>
      </c>
      <c r="B560" s="35" t="s">
        <v>574</v>
      </c>
      <c r="C560" s="31">
        <v>46066</v>
      </c>
      <c r="D560" s="27" t="s">
        <v>332</v>
      </c>
      <c r="E560" s="33" t="s">
        <v>38</v>
      </c>
      <c r="F560" s="28" t="s">
        <v>852</v>
      </c>
      <c r="G560" s="28" t="s">
        <v>27</v>
      </c>
      <c r="H560" s="24">
        <f>44-H559</f>
        <v>39</v>
      </c>
      <c r="I560" s="24">
        <v>1</v>
      </c>
      <c r="J560" s="28" t="s">
        <v>272</v>
      </c>
      <c r="K560" s="28" t="s">
        <v>479</v>
      </c>
      <c r="L560" s="28" t="s">
        <v>55</v>
      </c>
      <c r="M560" s="28">
        <v>202302689</v>
      </c>
      <c r="N560" s="22" t="s">
        <v>165</v>
      </c>
      <c r="O560" s="22" t="s">
        <v>853</v>
      </c>
      <c r="P560" s="22" t="s">
        <v>46</v>
      </c>
    </row>
    <row r="561" spans="1:16" ht="21" x14ac:dyDescent="0.3">
      <c r="A561" s="28">
        <f>WEEKNUM(Table1[[#This Row],[Date]])</f>
        <v>8</v>
      </c>
      <c r="B561" s="35" t="s">
        <v>574</v>
      </c>
      <c r="C561" s="31">
        <v>46069</v>
      </c>
      <c r="D561" s="27" t="s">
        <v>11</v>
      </c>
      <c r="E561" s="33" t="s">
        <v>25</v>
      </c>
      <c r="F561" s="28" t="s">
        <v>855</v>
      </c>
      <c r="G561" s="28" t="s">
        <v>27</v>
      </c>
      <c r="H561" s="24">
        <v>4</v>
      </c>
      <c r="I561" s="24">
        <v>0</v>
      </c>
      <c r="J561" s="28"/>
      <c r="K561" s="28" t="s">
        <v>934</v>
      </c>
      <c r="L561" s="28" t="s">
        <v>934</v>
      </c>
      <c r="M561" s="28"/>
      <c r="N561" s="28" t="s">
        <v>934</v>
      </c>
      <c r="O561" s="22"/>
      <c r="P561" s="29" t="s">
        <v>171</v>
      </c>
    </row>
    <row r="562" spans="1:16" ht="21" x14ac:dyDescent="0.3">
      <c r="A562" s="28">
        <f>WEEKNUM(Table1[[#This Row],[Date]])</f>
        <v>8</v>
      </c>
      <c r="B562" s="35" t="s">
        <v>574</v>
      </c>
      <c r="C562" s="31">
        <v>46069</v>
      </c>
      <c r="D562" s="27" t="s">
        <v>11</v>
      </c>
      <c r="E562" s="33" t="s">
        <v>25</v>
      </c>
      <c r="F562" s="28" t="s">
        <v>856</v>
      </c>
      <c r="G562" s="28" t="s">
        <v>27</v>
      </c>
      <c r="H562" s="24">
        <v>18</v>
      </c>
      <c r="I562" s="24">
        <v>1</v>
      </c>
      <c r="J562" s="28" t="s">
        <v>12</v>
      </c>
      <c r="K562" s="28" t="s">
        <v>349</v>
      </c>
      <c r="L562" s="28" t="s">
        <v>13</v>
      </c>
      <c r="M562" s="28">
        <v>251784</v>
      </c>
      <c r="N562" s="22" t="s">
        <v>166</v>
      </c>
      <c r="O562" s="22"/>
      <c r="P562" s="22" t="s">
        <v>11</v>
      </c>
    </row>
    <row r="563" spans="1:16" ht="21" x14ac:dyDescent="0.3">
      <c r="A563" s="28">
        <f>WEEKNUM(Table1[[#This Row],[Date]])</f>
        <v>8</v>
      </c>
      <c r="B563" s="35" t="s">
        <v>574</v>
      </c>
      <c r="C563" s="31">
        <v>46069</v>
      </c>
      <c r="D563" s="27" t="s">
        <v>11</v>
      </c>
      <c r="E563" s="33" t="s">
        <v>25</v>
      </c>
      <c r="F563" s="28" t="s">
        <v>857</v>
      </c>
      <c r="G563" s="28" t="s">
        <v>27</v>
      </c>
      <c r="H563" s="24">
        <v>35</v>
      </c>
      <c r="I563" s="24"/>
      <c r="J563" s="28"/>
      <c r="K563" s="28" t="s">
        <v>934</v>
      </c>
      <c r="L563" s="28" t="s">
        <v>934</v>
      </c>
      <c r="M563" s="28"/>
      <c r="N563" s="28" t="s">
        <v>934</v>
      </c>
      <c r="O563" s="22"/>
      <c r="P563" s="29" t="s">
        <v>171</v>
      </c>
    </row>
    <row r="564" spans="1:16" ht="21" x14ac:dyDescent="0.3">
      <c r="A564" s="28">
        <f>WEEKNUM(Table1[[#This Row],[Date]])</f>
        <v>8</v>
      </c>
      <c r="B564" s="35" t="s">
        <v>574</v>
      </c>
      <c r="C564" s="31">
        <v>46069</v>
      </c>
      <c r="D564" s="27" t="s">
        <v>11</v>
      </c>
      <c r="E564" s="33" t="s">
        <v>25</v>
      </c>
      <c r="F564" s="28" t="s">
        <v>858</v>
      </c>
      <c r="G564" s="28" t="s">
        <v>27</v>
      </c>
      <c r="H564" s="24">
        <v>6</v>
      </c>
      <c r="I564" s="24">
        <v>0</v>
      </c>
      <c r="J564" s="28"/>
      <c r="K564" s="28" t="s">
        <v>934</v>
      </c>
      <c r="L564" s="28" t="s">
        <v>934</v>
      </c>
      <c r="M564" s="28"/>
      <c r="N564" s="28" t="s">
        <v>934</v>
      </c>
      <c r="O564" s="22"/>
      <c r="P564" s="29" t="s">
        <v>171</v>
      </c>
    </row>
    <row r="565" spans="1:16" ht="21" x14ac:dyDescent="0.3">
      <c r="A565" s="28">
        <f>WEEKNUM(Table1[[#This Row],[Date]])</f>
        <v>8</v>
      </c>
      <c r="B565" s="35" t="s">
        <v>574</v>
      </c>
      <c r="C565" s="31">
        <v>46069</v>
      </c>
      <c r="D565" s="27" t="s">
        <v>11</v>
      </c>
      <c r="E565" s="33" t="s">
        <v>25</v>
      </c>
      <c r="F565" s="28" t="s">
        <v>859</v>
      </c>
      <c r="G565" s="28" t="s">
        <v>27</v>
      </c>
      <c r="H565" s="24">
        <v>28</v>
      </c>
      <c r="I565" s="24">
        <v>1</v>
      </c>
      <c r="J565" s="28" t="s">
        <v>229</v>
      </c>
      <c r="K565" s="28" t="s">
        <v>349</v>
      </c>
      <c r="L565" s="28" t="s">
        <v>159</v>
      </c>
      <c r="M565" s="28">
        <v>251785</v>
      </c>
      <c r="N565" s="22" t="s">
        <v>164</v>
      </c>
      <c r="O565" s="22"/>
      <c r="P565" s="22" t="s">
        <v>11</v>
      </c>
    </row>
    <row r="566" spans="1:16" ht="21" x14ac:dyDescent="0.3">
      <c r="A566" s="28">
        <f>WEEKNUM(Table1[[#This Row],[Date]])</f>
        <v>8</v>
      </c>
      <c r="B566" s="35" t="s">
        <v>574</v>
      </c>
      <c r="C566" s="31">
        <v>46069</v>
      </c>
      <c r="D566" s="27" t="s">
        <v>11</v>
      </c>
      <c r="E566" s="33" t="s">
        <v>25</v>
      </c>
      <c r="F566" s="28" t="s">
        <v>860</v>
      </c>
      <c r="G566" s="28" t="s">
        <v>8</v>
      </c>
      <c r="H566" s="24">
        <v>10</v>
      </c>
      <c r="I566" s="24">
        <v>1</v>
      </c>
      <c r="J566" s="28" t="s">
        <v>12</v>
      </c>
      <c r="K566" s="28" t="s">
        <v>353</v>
      </c>
      <c r="L566" s="28" t="s">
        <v>555</v>
      </c>
      <c r="M566" s="28">
        <v>251787</v>
      </c>
      <c r="N566" s="22" t="s">
        <v>166</v>
      </c>
      <c r="O566" s="22"/>
      <c r="P566" s="22" t="s">
        <v>14</v>
      </c>
    </row>
    <row r="567" spans="1:16" ht="21" x14ac:dyDescent="0.3">
      <c r="A567" s="28">
        <f>WEEKNUM(Table1[[#This Row],[Date]])</f>
        <v>8</v>
      </c>
      <c r="B567" s="35" t="s">
        <v>574</v>
      </c>
      <c r="C567" s="31">
        <v>46069</v>
      </c>
      <c r="D567" s="27" t="s">
        <v>11</v>
      </c>
      <c r="E567" s="33" t="s">
        <v>25</v>
      </c>
      <c r="F567" s="28" t="s">
        <v>860</v>
      </c>
      <c r="G567" s="28" t="s">
        <v>8</v>
      </c>
      <c r="H567" s="24"/>
      <c r="I567" s="24">
        <v>1</v>
      </c>
      <c r="J567" s="28" t="s">
        <v>17</v>
      </c>
      <c r="K567" s="28" t="s">
        <v>349</v>
      </c>
      <c r="L567" s="28" t="s">
        <v>118</v>
      </c>
      <c r="M567" s="28">
        <v>251788</v>
      </c>
      <c r="N567" s="22" t="s">
        <v>164</v>
      </c>
      <c r="O567" s="22"/>
      <c r="P567" s="22" t="s">
        <v>11</v>
      </c>
    </row>
    <row r="568" spans="1:16" ht="21" x14ac:dyDescent="0.3">
      <c r="A568" s="28">
        <f>WEEKNUM(Table1[[#This Row],[Date]])</f>
        <v>8</v>
      </c>
      <c r="B568" s="35" t="s">
        <v>574</v>
      </c>
      <c r="C568" s="31">
        <v>46069</v>
      </c>
      <c r="D568" s="27" t="s">
        <v>11</v>
      </c>
      <c r="E568" s="33" t="s">
        <v>25</v>
      </c>
      <c r="F568" s="28" t="s">
        <v>861</v>
      </c>
      <c r="G568" s="28" t="s">
        <v>8</v>
      </c>
      <c r="H568" s="24">
        <v>10</v>
      </c>
      <c r="I568" s="24">
        <v>0</v>
      </c>
      <c r="J568" s="28"/>
      <c r="K568" s="28" t="s">
        <v>934</v>
      </c>
      <c r="L568" s="28" t="s">
        <v>934</v>
      </c>
      <c r="M568" s="28"/>
      <c r="N568" s="28" t="s">
        <v>934</v>
      </c>
      <c r="O568" s="22"/>
      <c r="P568" s="29" t="s">
        <v>171</v>
      </c>
    </row>
    <row r="569" spans="1:16" ht="21" x14ac:dyDescent="0.3">
      <c r="A569" s="28">
        <f>WEEKNUM(Table1[[#This Row],[Date]])</f>
        <v>8</v>
      </c>
      <c r="B569" s="35" t="s">
        <v>574</v>
      </c>
      <c r="C569" s="31">
        <v>46069</v>
      </c>
      <c r="D569" s="27" t="s">
        <v>11</v>
      </c>
      <c r="E569" s="33" t="s">
        <v>25</v>
      </c>
      <c r="F569" s="28" t="s">
        <v>862</v>
      </c>
      <c r="G569" s="28" t="s">
        <v>27</v>
      </c>
      <c r="H569" s="24">
        <v>4</v>
      </c>
      <c r="I569" s="24">
        <v>0</v>
      </c>
      <c r="J569" s="28"/>
      <c r="K569" s="28" t="s">
        <v>934</v>
      </c>
      <c r="L569" s="28" t="s">
        <v>934</v>
      </c>
      <c r="M569" s="28"/>
      <c r="N569" s="28" t="s">
        <v>934</v>
      </c>
      <c r="O569" s="22"/>
      <c r="P569" s="29" t="s">
        <v>171</v>
      </c>
    </row>
    <row r="570" spans="1:16" ht="21" x14ac:dyDescent="0.3">
      <c r="A570" s="28">
        <f>WEEKNUM(Table1[[#This Row],[Date]])</f>
        <v>8</v>
      </c>
      <c r="B570" s="35" t="s">
        <v>574</v>
      </c>
      <c r="C570" s="31">
        <v>46069</v>
      </c>
      <c r="D570" s="27" t="s">
        <v>11</v>
      </c>
      <c r="E570" s="33" t="s">
        <v>25</v>
      </c>
      <c r="F570" s="28" t="s">
        <v>863</v>
      </c>
      <c r="G570" s="28" t="s">
        <v>8</v>
      </c>
      <c r="H570" s="24">
        <v>5</v>
      </c>
      <c r="I570" s="24">
        <v>1</v>
      </c>
      <c r="J570" s="28" t="s">
        <v>864</v>
      </c>
      <c r="K570" s="28" t="s">
        <v>61</v>
      </c>
      <c r="L570" s="28" t="s">
        <v>612</v>
      </c>
      <c r="M570" s="28">
        <v>251789</v>
      </c>
      <c r="N570" s="22" t="s">
        <v>166</v>
      </c>
      <c r="O570" s="22" t="s">
        <v>865</v>
      </c>
      <c r="P570" s="22" t="s">
        <v>16</v>
      </c>
    </row>
    <row r="571" spans="1:16" ht="21" x14ac:dyDescent="0.3">
      <c r="A571" s="28">
        <f>WEEKNUM(Table1[[#This Row],[Date]])</f>
        <v>8</v>
      </c>
      <c r="B571" s="35" t="s">
        <v>574</v>
      </c>
      <c r="C571" s="31">
        <v>46069</v>
      </c>
      <c r="D571" s="27" t="s">
        <v>11</v>
      </c>
      <c r="E571" s="33" t="s">
        <v>18</v>
      </c>
      <c r="F571" s="28" t="s">
        <v>866</v>
      </c>
      <c r="G571" s="28" t="s">
        <v>8</v>
      </c>
      <c r="H571" s="24">
        <v>3</v>
      </c>
      <c r="I571" s="24">
        <v>0</v>
      </c>
      <c r="J571" s="28"/>
      <c r="K571" s="28" t="s">
        <v>934</v>
      </c>
      <c r="L571" s="28" t="s">
        <v>934</v>
      </c>
      <c r="M571" s="28"/>
      <c r="N571" s="28" t="s">
        <v>934</v>
      </c>
      <c r="O571" s="22"/>
      <c r="P571" s="29" t="s">
        <v>171</v>
      </c>
    </row>
    <row r="572" spans="1:16" ht="21" x14ac:dyDescent="0.3">
      <c r="A572" s="28">
        <f>WEEKNUM(Table1[[#This Row],[Date]])</f>
        <v>8</v>
      </c>
      <c r="B572" s="35" t="s">
        <v>574</v>
      </c>
      <c r="C572" s="31">
        <v>46069</v>
      </c>
      <c r="D572" s="27" t="s">
        <v>11</v>
      </c>
      <c r="E572" s="33" t="s">
        <v>18</v>
      </c>
      <c r="F572" s="28" t="s">
        <v>867</v>
      </c>
      <c r="G572" s="28" t="s">
        <v>27</v>
      </c>
      <c r="H572" s="24">
        <v>4</v>
      </c>
      <c r="I572" s="24">
        <v>0</v>
      </c>
      <c r="J572" s="28"/>
      <c r="K572" s="28" t="s">
        <v>934</v>
      </c>
      <c r="L572" s="28" t="s">
        <v>934</v>
      </c>
      <c r="M572" s="28"/>
      <c r="N572" s="28" t="s">
        <v>934</v>
      </c>
      <c r="O572" s="22"/>
      <c r="P572" s="29" t="s">
        <v>171</v>
      </c>
    </row>
    <row r="573" spans="1:16" ht="21" x14ac:dyDescent="0.3">
      <c r="A573" s="28">
        <f>WEEKNUM(Table1[[#This Row],[Date]])</f>
        <v>8</v>
      </c>
      <c r="B573" s="35" t="s">
        <v>574</v>
      </c>
      <c r="C573" s="31">
        <v>46069</v>
      </c>
      <c r="D573" s="27" t="s">
        <v>11</v>
      </c>
      <c r="E573" s="33" t="s">
        <v>18</v>
      </c>
      <c r="F573" s="28" t="s">
        <v>868</v>
      </c>
      <c r="G573" s="28" t="s">
        <v>8</v>
      </c>
      <c r="H573" s="24">
        <v>5</v>
      </c>
      <c r="I573" s="24">
        <v>0</v>
      </c>
      <c r="J573" s="28"/>
      <c r="K573" s="28" t="s">
        <v>934</v>
      </c>
      <c r="L573" s="28" t="s">
        <v>934</v>
      </c>
      <c r="M573" s="28"/>
      <c r="N573" s="28" t="s">
        <v>934</v>
      </c>
      <c r="O573" s="22"/>
      <c r="P573" s="29" t="s">
        <v>171</v>
      </c>
    </row>
    <row r="574" spans="1:16" ht="21" x14ac:dyDescent="0.3">
      <c r="A574" s="28">
        <f>WEEKNUM(Table1[[#This Row],[Date]])</f>
        <v>8</v>
      </c>
      <c r="B574" s="35" t="s">
        <v>574</v>
      </c>
      <c r="C574" s="31">
        <v>46069</v>
      </c>
      <c r="D574" s="27" t="s">
        <v>11</v>
      </c>
      <c r="E574" s="33" t="s">
        <v>18</v>
      </c>
      <c r="F574" s="28" t="s">
        <v>869</v>
      </c>
      <c r="G574" s="28" t="s">
        <v>8</v>
      </c>
      <c r="H574" s="24">
        <v>7</v>
      </c>
      <c r="I574" s="24">
        <v>0</v>
      </c>
      <c r="J574" s="28"/>
      <c r="K574" s="28" t="s">
        <v>934</v>
      </c>
      <c r="L574" s="28" t="s">
        <v>934</v>
      </c>
      <c r="M574" s="28"/>
      <c r="N574" s="28" t="s">
        <v>934</v>
      </c>
      <c r="O574" s="22"/>
      <c r="P574" s="29" t="s">
        <v>171</v>
      </c>
    </row>
    <row r="575" spans="1:16" ht="21" x14ac:dyDescent="0.3">
      <c r="A575" s="28">
        <f>WEEKNUM(Table1[[#This Row],[Date]])</f>
        <v>8</v>
      </c>
      <c r="B575" s="35" t="s">
        <v>574</v>
      </c>
      <c r="C575" s="31">
        <v>46069</v>
      </c>
      <c r="D575" s="27" t="s">
        <v>11</v>
      </c>
      <c r="E575" s="33" t="s">
        <v>18</v>
      </c>
      <c r="F575" s="28" t="s">
        <v>870</v>
      </c>
      <c r="G575" s="28" t="s">
        <v>27</v>
      </c>
      <c r="H575" s="24">
        <v>45</v>
      </c>
      <c r="I575" s="24">
        <v>1</v>
      </c>
      <c r="J575" s="28" t="s">
        <v>15</v>
      </c>
      <c r="K575" s="28" t="s">
        <v>349</v>
      </c>
      <c r="L575" s="28" t="s">
        <v>93</v>
      </c>
      <c r="M575" s="28">
        <v>251790</v>
      </c>
      <c r="N575" s="22" t="s">
        <v>164</v>
      </c>
      <c r="O575" s="22" t="s">
        <v>871</v>
      </c>
      <c r="P575" s="22" t="s">
        <v>11</v>
      </c>
    </row>
    <row r="576" spans="1:16" ht="21" x14ac:dyDescent="0.3">
      <c r="A576" s="28">
        <f>WEEKNUM(Table1[[#This Row],[Date]])</f>
        <v>8</v>
      </c>
      <c r="B576" s="35" t="s">
        <v>574</v>
      </c>
      <c r="C576" s="31">
        <v>46069</v>
      </c>
      <c r="D576" s="27" t="s">
        <v>11</v>
      </c>
      <c r="E576" s="33" t="s">
        <v>18</v>
      </c>
      <c r="F576" s="28" t="s">
        <v>872</v>
      </c>
      <c r="G576" s="28" t="s">
        <v>27</v>
      </c>
      <c r="H576" s="24">
        <v>4</v>
      </c>
      <c r="I576" s="24">
        <v>0</v>
      </c>
      <c r="J576" s="28"/>
      <c r="K576" s="28" t="s">
        <v>934</v>
      </c>
      <c r="L576" s="28" t="s">
        <v>934</v>
      </c>
      <c r="M576" s="28"/>
      <c r="N576" s="28" t="s">
        <v>934</v>
      </c>
      <c r="O576" s="22"/>
      <c r="P576" s="29" t="s">
        <v>171</v>
      </c>
    </row>
    <row r="577" spans="1:16" ht="21" x14ac:dyDescent="0.3">
      <c r="A577" s="28">
        <f>WEEKNUM(Table1[[#This Row],[Date]])</f>
        <v>8</v>
      </c>
      <c r="B577" s="35" t="s">
        <v>574</v>
      </c>
      <c r="C577" s="31">
        <v>46069</v>
      </c>
      <c r="D577" s="27" t="s">
        <v>11</v>
      </c>
      <c r="E577" s="33" t="s">
        <v>18</v>
      </c>
      <c r="F577" s="28" t="s">
        <v>873</v>
      </c>
      <c r="G577" s="28" t="s">
        <v>27</v>
      </c>
      <c r="H577" s="24">
        <v>25</v>
      </c>
      <c r="I577" s="24">
        <v>1</v>
      </c>
      <c r="J577" s="28" t="s">
        <v>12</v>
      </c>
      <c r="K577" s="28" t="s">
        <v>349</v>
      </c>
      <c r="L577" s="28" t="s">
        <v>13</v>
      </c>
      <c r="M577" s="28">
        <v>251791</v>
      </c>
      <c r="N577" s="22" t="s">
        <v>166</v>
      </c>
      <c r="O577" s="22" t="s">
        <v>874</v>
      </c>
      <c r="P577" s="22" t="s">
        <v>11</v>
      </c>
    </row>
    <row r="578" spans="1:16" ht="36" x14ac:dyDescent="0.3">
      <c r="A578" s="28">
        <f>WEEKNUM(Table1[[#This Row],[Date]])</f>
        <v>8</v>
      </c>
      <c r="B578" s="35" t="s">
        <v>574</v>
      </c>
      <c r="C578" s="31">
        <v>46069</v>
      </c>
      <c r="D578" s="27" t="s">
        <v>332</v>
      </c>
      <c r="E578" s="33" t="s">
        <v>38</v>
      </c>
      <c r="F578" s="28" t="s">
        <v>848</v>
      </c>
      <c r="G578" s="28" t="s">
        <v>27</v>
      </c>
      <c r="H578" s="24"/>
      <c r="I578" s="24">
        <v>1</v>
      </c>
      <c r="J578" s="28" t="s">
        <v>875</v>
      </c>
      <c r="K578" s="28" t="s">
        <v>479</v>
      </c>
      <c r="L578" s="28" t="s">
        <v>55</v>
      </c>
      <c r="M578" s="28">
        <v>202302690</v>
      </c>
      <c r="N578" s="22" t="s">
        <v>165</v>
      </c>
      <c r="O578" s="22" t="s">
        <v>875</v>
      </c>
      <c r="P578" s="22" t="s">
        <v>46</v>
      </c>
    </row>
    <row r="579" spans="1:16" ht="21" x14ac:dyDescent="0.3">
      <c r="A579" s="28">
        <f>WEEKNUM(Table1[[#This Row],[Date]])</f>
        <v>8</v>
      </c>
      <c r="B579" s="35" t="s">
        <v>574</v>
      </c>
      <c r="C579" s="31">
        <v>46069</v>
      </c>
      <c r="D579" s="27" t="s">
        <v>332</v>
      </c>
      <c r="E579" s="33" t="s">
        <v>38</v>
      </c>
      <c r="F579" s="28" t="s">
        <v>857</v>
      </c>
      <c r="G579" s="28" t="s">
        <v>27</v>
      </c>
      <c r="H579" s="24">
        <f>41-H580</f>
        <v>37</v>
      </c>
      <c r="I579" s="24">
        <v>1</v>
      </c>
      <c r="J579" s="28" t="s">
        <v>12</v>
      </c>
      <c r="K579" s="28" t="s">
        <v>349</v>
      </c>
      <c r="L579" s="28" t="s">
        <v>717</v>
      </c>
      <c r="M579" s="28">
        <v>202302691</v>
      </c>
      <c r="N579" s="22" t="s">
        <v>164</v>
      </c>
      <c r="O579" s="22" t="s">
        <v>718</v>
      </c>
      <c r="P579" s="22" t="s">
        <v>11</v>
      </c>
    </row>
    <row r="580" spans="1:16" ht="21" x14ac:dyDescent="0.3">
      <c r="A580" s="28">
        <f>WEEKNUM(Table1[[#This Row],[Date]])</f>
        <v>8</v>
      </c>
      <c r="B580" s="35" t="s">
        <v>574</v>
      </c>
      <c r="C580" s="31">
        <v>46069</v>
      </c>
      <c r="D580" s="27" t="s">
        <v>332</v>
      </c>
      <c r="E580" s="33" t="s">
        <v>38</v>
      </c>
      <c r="F580" s="28" t="s">
        <v>876</v>
      </c>
      <c r="G580" s="28" t="s">
        <v>8</v>
      </c>
      <c r="H580" s="24">
        <v>4</v>
      </c>
      <c r="I580" s="24">
        <v>1</v>
      </c>
      <c r="J580" s="28" t="s">
        <v>12</v>
      </c>
      <c r="K580" s="28" t="s">
        <v>353</v>
      </c>
      <c r="L580" s="28" t="s">
        <v>334</v>
      </c>
      <c r="M580" s="28">
        <v>202302692</v>
      </c>
      <c r="N580" s="22" t="s">
        <v>166</v>
      </c>
      <c r="O580" s="22" t="s">
        <v>345</v>
      </c>
      <c r="P580" s="22" t="s">
        <v>14</v>
      </c>
    </row>
    <row r="581" spans="1:16" ht="21" x14ac:dyDescent="0.3">
      <c r="A581" s="28">
        <f>WEEKNUM(Table1[[#This Row],[Date]])</f>
        <v>8</v>
      </c>
      <c r="B581" s="35" t="s">
        <v>574</v>
      </c>
      <c r="C581" s="31">
        <v>46069</v>
      </c>
      <c r="D581" s="27" t="s">
        <v>332</v>
      </c>
      <c r="E581" s="33" t="s">
        <v>38</v>
      </c>
      <c r="F581" s="28" t="s">
        <v>877</v>
      </c>
      <c r="G581" s="28" t="s">
        <v>8</v>
      </c>
      <c r="H581" s="24"/>
      <c r="I581" s="24">
        <v>1</v>
      </c>
      <c r="J581" s="28" t="s">
        <v>168</v>
      </c>
      <c r="K581" s="28" t="s">
        <v>353</v>
      </c>
      <c r="L581" s="28" t="s">
        <v>344</v>
      </c>
      <c r="M581" s="28">
        <v>202302693</v>
      </c>
      <c r="N581" s="22" t="s">
        <v>164</v>
      </c>
      <c r="O581" s="22" t="s">
        <v>878</v>
      </c>
      <c r="P581" s="22" t="s">
        <v>14</v>
      </c>
    </row>
    <row r="582" spans="1:16" ht="21" x14ac:dyDescent="0.3">
      <c r="A582" s="28">
        <f>WEEKNUM(Table1[[#This Row],[Date]])</f>
        <v>8</v>
      </c>
      <c r="B582" s="35" t="s">
        <v>574</v>
      </c>
      <c r="C582" s="31">
        <v>46070</v>
      </c>
      <c r="D582" s="27" t="s">
        <v>11</v>
      </c>
      <c r="E582" s="33" t="s">
        <v>25</v>
      </c>
      <c r="F582" s="28" t="s">
        <v>879</v>
      </c>
      <c r="G582" s="28" t="s">
        <v>27</v>
      </c>
      <c r="H582" s="24">
        <v>6</v>
      </c>
      <c r="I582" s="24">
        <v>0</v>
      </c>
      <c r="J582" s="28"/>
      <c r="K582" s="28" t="s">
        <v>934</v>
      </c>
      <c r="L582" s="28" t="s">
        <v>934</v>
      </c>
      <c r="M582" s="28"/>
      <c r="N582" s="28" t="s">
        <v>934</v>
      </c>
      <c r="O582" s="22"/>
      <c r="P582" s="29" t="s">
        <v>171</v>
      </c>
    </row>
    <row r="583" spans="1:16" ht="21" x14ac:dyDescent="0.3">
      <c r="A583" s="28">
        <f>WEEKNUM(Table1[[#This Row],[Date]])</f>
        <v>8</v>
      </c>
      <c r="B583" s="35" t="s">
        <v>574</v>
      </c>
      <c r="C583" s="31">
        <v>46070</v>
      </c>
      <c r="D583" s="27" t="s">
        <v>11</v>
      </c>
      <c r="E583" s="33" t="s">
        <v>25</v>
      </c>
      <c r="F583" s="28" t="s">
        <v>880</v>
      </c>
      <c r="G583" s="28" t="s">
        <v>8</v>
      </c>
      <c r="H583" s="24">
        <v>7</v>
      </c>
      <c r="I583" s="24">
        <v>1</v>
      </c>
      <c r="J583" s="28" t="s">
        <v>12</v>
      </c>
      <c r="K583" s="28" t="s">
        <v>61</v>
      </c>
      <c r="L583" s="28" t="s">
        <v>45</v>
      </c>
      <c r="M583" s="28">
        <v>251792</v>
      </c>
      <c r="N583" s="22" t="s">
        <v>166</v>
      </c>
      <c r="O583" s="22" t="s">
        <v>881</v>
      </c>
      <c r="P583" s="22" t="s">
        <v>16</v>
      </c>
    </row>
    <row r="584" spans="1:16" ht="21" x14ac:dyDescent="0.3">
      <c r="A584" s="28">
        <f>WEEKNUM(Table1[[#This Row],[Date]])</f>
        <v>8</v>
      </c>
      <c r="B584" s="35" t="s">
        <v>574</v>
      </c>
      <c r="C584" s="31">
        <v>46070</v>
      </c>
      <c r="D584" s="27" t="s">
        <v>11</v>
      </c>
      <c r="E584" s="33" t="s">
        <v>25</v>
      </c>
      <c r="F584" s="28" t="s">
        <v>880</v>
      </c>
      <c r="G584" s="28" t="s">
        <v>8</v>
      </c>
      <c r="H584" s="24">
        <v>7</v>
      </c>
      <c r="I584" s="24">
        <v>1</v>
      </c>
      <c r="J584" s="28" t="s">
        <v>9</v>
      </c>
      <c r="K584" s="28" t="s">
        <v>349</v>
      </c>
      <c r="L584" s="28" t="s">
        <v>45</v>
      </c>
      <c r="M584" s="28">
        <v>251793</v>
      </c>
      <c r="N584" s="22" t="s">
        <v>166</v>
      </c>
      <c r="O584" s="22" t="s">
        <v>882</v>
      </c>
      <c r="P584" s="22" t="s">
        <v>11</v>
      </c>
    </row>
    <row r="585" spans="1:16" ht="21" x14ac:dyDescent="0.3">
      <c r="A585" s="28">
        <f>WEEKNUM(Table1[[#This Row],[Date]])</f>
        <v>8</v>
      </c>
      <c r="B585" s="35" t="s">
        <v>574</v>
      </c>
      <c r="C585" s="31">
        <v>46070</v>
      </c>
      <c r="D585" s="27" t="s">
        <v>11</v>
      </c>
      <c r="E585" s="33" t="s">
        <v>25</v>
      </c>
      <c r="F585" s="28" t="s">
        <v>880</v>
      </c>
      <c r="G585" s="28" t="s">
        <v>8</v>
      </c>
      <c r="H585" s="24">
        <v>7</v>
      </c>
      <c r="I585" s="24">
        <v>1</v>
      </c>
      <c r="J585" s="28" t="s">
        <v>229</v>
      </c>
      <c r="K585" s="28" t="s">
        <v>349</v>
      </c>
      <c r="L585" s="28" t="s">
        <v>52</v>
      </c>
      <c r="M585" s="28">
        <v>251794</v>
      </c>
      <c r="N585" s="22" t="s">
        <v>166</v>
      </c>
      <c r="O585" s="22"/>
      <c r="P585" s="22" t="s">
        <v>11</v>
      </c>
    </row>
    <row r="586" spans="1:16" ht="21" x14ac:dyDescent="0.3">
      <c r="A586" s="28">
        <f>WEEKNUM(Table1[[#This Row],[Date]])</f>
        <v>8</v>
      </c>
      <c r="B586" s="35" t="s">
        <v>574</v>
      </c>
      <c r="C586" s="31">
        <v>46070</v>
      </c>
      <c r="D586" s="27" t="s">
        <v>11</v>
      </c>
      <c r="E586" s="33" t="s">
        <v>25</v>
      </c>
      <c r="F586" s="28" t="s">
        <v>880</v>
      </c>
      <c r="G586" s="28" t="s">
        <v>8</v>
      </c>
      <c r="H586" s="24">
        <v>7</v>
      </c>
      <c r="I586" s="24">
        <v>1</v>
      </c>
      <c r="J586" s="28" t="s">
        <v>883</v>
      </c>
      <c r="K586" s="28" t="s">
        <v>61</v>
      </c>
      <c r="L586" s="28" t="s">
        <v>159</v>
      </c>
      <c r="M586" s="28">
        <v>251795</v>
      </c>
      <c r="N586" s="22" t="s">
        <v>164</v>
      </c>
      <c r="O586" s="22"/>
      <c r="P586" s="22" t="s">
        <v>16</v>
      </c>
    </row>
    <row r="587" spans="1:16" ht="21" x14ac:dyDescent="0.3">
      <c r="A587" s="28">
        <f>WEEKNUM(Table1[[#This Row],[Date]])</f>
        <v>8</v>
      </c>
      <c r="B587" s="35" t="s">
        <v>574</v>
      </c>
      <c r="C587" s="31">
        <v>46070</v>
      </c>
      <c r="D587" s="27" t="s">
        <v>11</v>
      </c>
      <c r="E587" s="33" t="s">
        <v>25</v>
      </c>
      <c r="F587" s="28" t="s">
        <v>727</v>
      </c>
      <c r="G587" s="28" t="s">
        <v>27</v>
      </c>
      <c r="H587" s="24">
        <v>16</v>
      </c>
      <c r="I587" s="24">
        <v>1</v>
      </c>
      <c r="J587" s="28" t="s">
        <v>17</v>
      </c>
      <c r="K587" s="28" t="s">
        <v>349</v>
      </c>
      <c r="L587" s="28" t="s">
        <v>83</v>
      </c>
      <c r="M587" s="28">
        <v>251796</v>
      </c>
      <c r="N587" s="22" t="s">
        <v>166</v>
      </c>
      <c r="O587" s="22" t="s">
        <v>884</v>
      </c>
      <c r="P587" s="22" t="s">
        <v>11</v>
      </c>
    </row>
    <row r="588" spans="1:16" ht="21" x14ac:dyDescent="0.3">
      <c r="A588" s="28">
        <f>WEEKNUM(Table1[[#This Row],[Date]])</f>
        <v>8</v>
      </c>
      <c r="B588" s="35" t="s">
        <v>574</v>
      </c>
      <c r="C588" s="31">
        <v>46070</v>
      </c>
      <c r="D588" s="27" t="s">
        <v>11</v>
      </c>
      <c r="E588" s="33" t="s">
        <v>25</v>
      </c>
      <c r="F588" s="28" t="s">
        <v>885</v>
      </c>
      <c r="G588" s="28" t="s">
        <v>27</v>
      </c>
      <c r="H588" s="24">
        <v>4</v>
      </c>
      <c r="I588" s="24">
        <v>1</v>
      </c>
      <c r="J588" s="28" t="s">
        <v>12</v>
      </c>
      <c r="K588" s="28" t="s">
        <v>349</v>
      </c>
      <c r="L588" s="28" t="s">
        <v>51</v>
      </c>
      <c r="M588" s="28">
        <v>251797</v>
      </c>
      <c r="N588" s="22" t="s">
        <v>164</v>
      </c>
      <c r="O588" s="22" t="s">
        <v>51</v>
      </c>
      <c r="P588" s="22" t="s">
        <v>11</v>
      </c>
    </row>
    <row r="589" spans="1:16" ht="21" x14ac:dyDescent="0.3">
      <c r="A589" s="28">
        <f>WEEKNUM(Table1[[#This Row],[Date]])</f>
        <v>8</v>
      </c>
      <c r="B589" s="35" t="s">
        <v>574</v>
      </c>
      <c r="C589" s="31">
        <v>46070</v>
      </c>
      <c r="D589" s="27" t="s">
        <v>11</v>
      </c>
      <c r="E589" s="33" t="s">
        <v>886</v>
      </c>
      <c r="F589" s="28" t="s">
        <v>887</v>
      </c>
      <c r="G589" s="28" t="s">
        <v>8</v>
      </c>
      <c r="H589" s="24">
        <v>5</v>
      </c>
      <c r="I589" s="24">
        <v>0</v>
      </c>
      <c r="J589" s="28"/>
      <c r="K589" s="28" t="s">
        <v>934</v>
      </c>
      <c r="L589" s="28" t="s">
        <v>934</v>
      </c>
      <c r="M589" s="28"/>
      <c r="N589" s="28" t="s">
        <v>934</v>
      </c>
      <c r="O589" s="22"/>
      <c r="P589" s="29" t="s">
        <v>171</v>
      </c>
    </row>
    <row r="590" spans="1:16" ht="21" x14ac:dyDescent="0.3">
      <c r="A590" s="28">
        <f>WEEKNUM(Table1[[#This Row],[Date]])</f>
        <v>8</v>
      </c>
      <c r="B590" s="35" t="s">
        <v>574</v>
      </c>
      <c r="C590" s="31">
        <v>46070</v>
      </c>
      <c r="D590" s="27" t="s">
        <v>11</v>
      </c>
      <c r="E590" s="33" t="s">
        <v>886</v>
      </c>
      <c r="F590" s="28" t="s">
        <v>869</v>
      </c>
      <c r="G590" s="28" t="s">
        <v>8</v>
      </c>
      <c r="H590" s="24">
        <v>8</v>
      </c>
      <c r="I590" s="24">
        <v>0</v>
      </c>
      <c r="J590" s="28"/>
      <c r="K590" s="28" t="s">
        <v>934</v>
      </c>
      <c r="L590" s="28" t="s">
        <v>934</v>
      </c>
      <c r="M590" s="28"/>
      <c r="N590" s="28" t="s">
        <v>934</v>
      </c>
      <c r="O590" s="22"/>
      <c r="P590" s="29" t="s">
        <v>171</v>
      </c>
    </row>
    <row r="591" spans="1:16" ht="21" x14ac:dyDescent="0.3">
      <c r="A591" s="28">
        <f>WEEKNUM(Table1[[#This Row],[Date]])</f>
        <v>8</v>
      </c>
      <c r="B591" s="35" t="s">
        <v>574</v>
      </c>
      <c r="C591" s="31">
        <v>46070</v>
      </c>
      <c r="D591" s="27" t="s">
        <v>11</v>
      </c>
      <c r="E591" s="33" t="s">
        <v>886</v>
      </c>
      <c r="F591" s="28" t="s">
        <v>885</v>
      </c>
      <c r="G591" s="28" t="s">
        <v>27</v>
      </c>
      <c r="H591" s="24">
        <v>27</v>
      </c>
      <c r="I591" s="24">
        <v>0</v>
      </c>
      <c r="J591" s="28"/>
      <c r="K591" s="28" t="s">
        <v>934</v>
      </c>
      <c r="L591" s="28" t="s">
        <v>934</v>
      </c>
      <c r="M591" s="28"/>
      <c r="N591" s="28" t="s">
        <v>934</v>
      </c>
      <c r="O591" s="22"/>
      <c r="P591" s="29" t="s">
        <v>171</v>
      </c>
    </row>
    <row r="592" spans="1:16" ht="21" x14ac:dyDescent="0.3">
      <c r="A592" s="28">
        <f>WEEKNUM(Table1[[#This Row],[Date]])</f>
        <v>8</v>
      </c>
      <c r="B592" s="35" t="s">
        <v>574</v>
      </c>
      <c r="C592" s="31">
        <v>46070</v>
      </c>
      <c r="D592" s="27" t="s">
        <v>11</v>
      </c>
      <c r="E592" s="33" t="s">
        <v>25</v>
      </c>
      <c r="F592" s="28" t="s">
        <v>888</v>
      </c>
      <c r="G592" s="28" t="s">
        <v>8</v>
      </c>
      <c r="H592" s="24">
        <v>9</v>
      </c>
      <c r="I592" s="24">
        <v>1</v>
      </c>
      <c r="J592" s="28" t="s">
        <v>12</v>
      </c>
      <c r="K592" s="28" t="s">
        <v>353</v>
      </c>
      <c r="L592" s="28" t="s">
        <v>13</v>
      </c>
      <c r="M592" s="28">
        <v>251799</v>
      </c>
      <c r="N592" s="22" t="s">
        <v>166</v>
      </c>
      <c r="O592" s="22" t="s">
        <v>889</v>
      </c>
      <c r="P592" s="22" t="s">
        <v>14</v>
      </c>
    </row>
    <row r="593" spans="1:16" ht="21" x14ac:dyDescent="0.3">
      <c r="A593" s="28">
        <f>WEEKNUM(Table1[[#This Row],[Date]])</f>
        <v>8</v>
      </c>
      <c r="B593" s="35" t="s">
        <v>574</v>
      </c>
      <c r="C593" s="31">
        <v>46070</v>
      </c>
      <c r="D593" s="27" t="s">
        <v>11</v>
      </c>
      <c r="E593" s="33" t="s">
        <v>25</v>
      </c>
      <c r="F593" s="28" t="s">
        <v>890</v>
      </c>
      <c r="G593" s="28" t="s">
        <v>27</v>
      </c>
      <c r="H593" s="24">
        <v>6</v>
      </c>
      <c r="I593" s="24">
        <v>1</v>
      </c>
      <c r="J593" s="28" t="s">
        <v>15</v>
      </c>
      <c r="K593" s="28" t="s">
        <v>349</v>
      </c>
      <c r="L593" s="28" t="s">
        <v>159</v>
      </c>
      <c r="M593" s="28">
        <v>251800</v>
      </c>
      <c r="N593" s="22" t="s">
        <v>164</v>
      </c>
      <c r="O593" s="22"/>
      <c r="P593" s="22" t="s">
        <v>11</v>
      </c>
    </row>
    <row r="594" spans="1:16" ht="21" x14ac:dyDescent="0.3">
      <c r="A594" s="28">
        <f>WEEKNUM(Table1[[#This Row],[Date]])</f>
        <v>8</v>
      </c>
      <c r="B594" s="35" t="s">
        <v>574</v>
      </c>
      <c r="C594" s="31">
        <v>46070</v>
      </c>
      <c r="D594" s="27" t="s">
        <v>11</v>
      </c>
      <c r="E594" s="33" t="s">
        <v>25</v>
      </c>
      <c r="F594" s="28" t="s">
        <v>891</v>
      </c>
      <c r="G594" s="28" t="s">
        <v>27</v>
      </c>
      <c r="H594" s="24">
        <v>15</v>
      </c>
      <c r="I594" s="24">
        <v>0</v>
      </c>
      <c r="J594" s="28"/>
      <c r="K594" s="28" t="s">
        <v>934</v>
      </c>
      <c r="L594" s="28" t="s">
        <v>934</v>
      </c>
      <c r="M594" s="28"/>
      <c r="N594" s="28" t="s">
        <v>934</v>
      </c>
      <c r="O594" s="22"/>
      <c r="P594" s="29" t="s">
        <v>171</v>
      </c>
    </row>
    <row r="595" spans="1:16" ht="21" x14ac:dyDescent="0.3">
      <c r="A595" s="28">
        <f>WEEKNUM(Table1[[#This Row],[Date]])</f>
        <v>8</v>
      </c>
      <c r="B595" s="35" t="s">
        <v>574</v>
      </c>
      <c r="C595" s="31">
        <v>46070</v>
      </c>
      <c r="D595" s="27" t="s">
        <v>11</v>
      </c>
      <c r="E595" s="33" t="s">
        <v>18</v>
      </c>
      <c r="F595" s="28" t="s">
        <v>892</v>
      </c>
      <c r="G595" s="28" t="s">
        <v>8</v>
      </c>
      <c r="H595" s="24">
        <v>5</v>
      </c>
      <c r="I595" s="24">
        <v>1</v>
      </c>
      <c r="J595" s="28" t="s">
        <v>12</v>
      </c>
      <c r="K595" s="28" t="s">
        <v>740</v>
      </c>
      <c r="L595" s="28" t="s">
        <v>466</v>
      </c>
      <c r="M595" s="28">
        <v>251801</v>
      </c>
      <c r="N595" s="22" t="s">
        <v>166</v>
      </c>
      <c r="O595" s="22" t="s">
        <v>893</v>
      </c>
      <c r="P595" s="22" t="s">
        <v>16</v>
      </c>
    </row>
    <row r="596" spans="1:16" ht="21" x14ac:dyDescent="0.3">
      <c r="A596" s="28">
        <f>WEEKNUM(Table1[[#This Row],[Date]])</f>
        <v>8</v>
      </c>
      <c r="B596" s="35" t="s">
        <v>574</v>
      </c>
      <c r="C596" s="31">
        <v>46070</v>
      </c>
      <c r="D596" s="27" t="s">
        <v>11</v>
      </c>
      <c r="E596" s="33" t="s">
        <v>18</v>
      </c>
      <c r="F596" s="28" t="s">
        <v>894</v>
      </c>
      <c r="G596" s="28" t="s">
        <v>8</v>
      </c>
      <c r="H596" s="24">
        <v>6</v>
      </c>
      <c r="I596" s="24">
        <v>1</v>
      </c>
      <c r="J596" s="28" t="s">
        <v>291</v>
      </c>
      <c r="K596" s="28" t="s">
        <v>350</v>
      </c>
      <c r="L596" s="28" t="s">
        <v>36</v>
      </c>
      <c r="M596" s="28">
        <v>251802</v>
      </c>
      <c r="N596" s="22" t="s">
        <v>169</v>
      </c>
      <c r="O596" s="22" t="s">
        <v>895</v>
      </c>
      <c r="P596" s="22" t="s">
        <v>11</v>
      </c>
    </row>
    <row r="597" spans="1:16" ht="21" x14ac:dyDescent="0.3">
      <c r="A597" s="28">
        <f>WEEKNUM(Table1[[#This Row],[Date]])</f>
        <v>8</v>
      </c>
      <c r="B597" s="35" t="s">
        <v>574</v>
      </c>
      <c r="C597" s="31">
        <v>46070</v>
      </c>
      <c r="D597" s="27" t="s">
        <v>11</v>
      </c>
      <c r="E597" s="33" t="s">
        <v>18</v>
      </c>
      <c r="F597" s="28" t="s">
        <v>896</v>
      </c>
      <c r="G597" s="28" t="s">
        <v>27</v>
      </c>
      <c r="H597" s="24">
        <v>10</v>
      </c>
      <c r="I597" s="24">
        <v>0</v>
      </c>
      <c r="J597" s="28"/>
      <c r="K597" s="28" t="s">
        <v>934</v>
      </c>
      <c r="L597" s="28" t="s">
        <v>934</v>
      </c>
      <c r="M597" s="28"/>
      <c r="N597" s="28" t="s">
        <v>934</v>
      </c>
      <c r="O597" s="22"/>
      <c r="P597" s="29" t="s">
        <v>171</v>
      </c>
    </row>
    <row r="598" spans="1:16" ht="21" x14ac:dyDescent="0.3">
      <c r="A598" s="28">
        <f>WEEKNUM(Table1[[#This Row],[Date]])</f>
        <v>8</v>
      </c>
      <c r="B598" s="35" t="s">
        <v>574</v>
      </c>
      <c r="C598" s="31">
        <v>46070</v>
      </c>
      <c r="D598" s="27" t="s">
        <v>11</v>
      </c>
      <c r="E598" s="33" t="s">
        <v>18</v>
      </c>
      <c r="F598" s="28" t="s">
        <v>897</v>
      </c>
      <c r="G598" s="28" t="s">
        <v>27</v>
      </c>
      <c r="H598" s="24">
        <v>35</v>
      </c>
      <c r="I598" s="24"/>
      <c r="J598" s="28" t="s">
        <v>12</v>
      </c>
      <c r="K598" s="28" t="s">
        <v>349</v>
      </c>
      <c r="L598" s="28" t="s">
        <v>13</v>
      </c>
      <c r="M598" s="28"/>
      <c r="N598" s="22" t="s">
        <v>166</v>
      </c>
      <c r="O598" s="22" t="s">
        <v>898</v>
      </c>
      <c r="P598" s="22" t="s">
        <v>11</v>
      </c>
    </row>
    <row r="599" spans="1:16" ht="21" x14ac:dyDescent="0.3">
      <c r="A599" s="28">
        <f>WEEKNUM(Table1[[#This Row],[Date]])</f>
        <v>8</v>
      </c>
      <c r="B599" s="35" t="s">
        <v>574</v>
      </c>
      <c r="C599" s="31">
        <v>46070</v>
      </c>
      <c r="D599" s="27" t="s">
        <v>11</v>
      </c>
      <c r="E599" s="33" t="s">
        <v>18</v>
      </c>
      <c r="F599" s="28" t="s">
        <v>845</v>
      </c>
      <c r="G599" s="28" t="s">
        <v>8</v>
      </c>
      <c r="H599" s="24">
        <v>1</v>
      </c>
      <c r="I599" s="24">
        <v>1</v>
      </c>
      <c r="J599" s="28" t="s">
        <v>12</v>
      </c>
      <c r="K599" s="28" t="s">
        <v>353</v>
      </c>
      <c r="L599" s="28" t="s">
        <v>45</v>
      </c>
      <c r="M599" s="28">
        <v>251803</v>
      </c>
      <c r="N599" s="22" t="s">
        <v>166</v>
      </c>
      <c r="O599" s="22" t="s">
        <v>899</v>
      </c>
      <c r="P599" s="22" t="s">
        <v>14</v>
      </c>
    </row>
    <row r="600" spans="1:16" ht="21" x14ac:dyDescent="0.3">
      <c r="A600" s="28">
        <f>WEEKNUM(Table1[[#This Row],[Date]])</f>
        <v>8</v>
      </c>
      <c r="B600" s="35" t="s">
        <v>574</v>
      </c>
      <c r="C600" s="31">
        <v>46070</v>
      </c>
      <c r="D600" s="27" t="s">
        <v>11</v>
      </c>
      <c r="E600" s="33" t="s">
        <v>18</v>
      </c>
      <c r="F600" s="28" t="s">
        <v>900</v>
      </c>
      <c r="G600" s="28" t="s">
        <v>27</v>
      </c>
      <c r="H600" s="24">
        <v>8</v>
      </c>
      <c r="I600" s="24">
        <v>0</v>
      </c>
      <c r="J600" s="28"/>
      <c r="K600" s="28" t="s">
        <v>934</v>
      </c>
      <c r="L600" s="28" t="s">
        <v>934</v>
      </c>
      <c r="M600" s="28"/>
      <c r="N600" s="28" t="s">
        <v>934</v>
      </c>
      <c r="O600" s="22"/>
      <c r="P600" s="29" t="s">
        <v>171</v>
      </c>
    </row>
    <row r="601" spans="1:16" ht="21" x14ac:dyDescent="0.3">
      <c r="A601" s="28">
        <f>WEEKNUM(Table1[[#This Row],[Date]])</f>
        <v>8</v>
      </c>
      <c r="B601" s="35" t="s">
        <v>574</v>
      </c>
      <c r="C601" s="31">
        <v>46070</v>
      </c>
      <c r="D601" s="27" t="s">
        <v>11</v>
      </c>
      <c r="E601" s="33" t="s">
        <v>18</v>
      </c>
      <c r="F601" s="28" t="s">
        <v>901</v>
      </c>
      <c r="G601" s="28" t="s">
        <v>27</v>
      </c>
      <c r="H601" s="24">
        <v>9</v>
      </c>
      <c r="I601" s="24">
        <v>0</v>
      </c>
      <c r="J601" s="28"/>
      <c r="K601" s="28" t="s">
        <v>934</v>
      </c>
      <c r="L601" s="28" t="s">
        <v>934</v>
      </c>
      <c r="M601" s="28"/>
      <c r="N601" s="22" t="s">
        <v>934</v>
      </c>
      <c r="O601" s="22"/>
      <c r="P601" s="22" t="s">
        <v>171</v>
      </c>
    </row>
    <row r="602" spans="1:16" ht="21" x14ac:dyDescent="0.3">
      <c r="A602" s="28">
        <f>WEEKNUM(Table1[[#This Row],[Date]])</f>
        <v>8</v>
      </c>
      <c r="B602" s="35" t="s">
        <v>574</v>
      </c>
      <c r="C602" s="31">
        <v>46070</v>
      </c>
      <c r="D602" s="27" t="s">
        <v>11</v>
      </c>
      <c r="E602" s="33" t="s">
        <v>18</v>
      </c>
      <c r="F602" s="28" t="s">
        <v>902</v>
      </c>
      <c r="G602" s="28" t="s">
        <v>27</v>
      </c>
      <c r="H602" s="24">
        <v>10</v>
      </c>
      <c r="I602" s="24">
        <v>0</v>
      </c>
      <c r="J602" s="28"/>
      <c r="K602" s="28" t="s">
        <v>934</v>
      </c>
      <c r="L602" s="28" t="s">
        <v>934</v>
      </c>
      <c r="M602" s="28"/>
      <c r="N602" s="28" t="s">
        <v>934</v>
      </c>
      <c r="O602" s="22"/>
      <c r="P602" s="29" t="s">
        <v>171</v>
      </c>
    </row>
    <row r="603" spans="1:16" ht="21" x14ac:dyDescent="0.3">
      <c r="A603" s="28">
        <f>WEEKNUM(Table1[[#This Row],[Date]])</f>
        <v>8</v>
      </c>
      <c r="B603" s="35" t="s">
        <v>574</v>
      </c>
      <c r="C603" s="31">
        <v>46070</v>
      </c>
      <c r="D603" s="27" t="s">
        <v>332</v>
      </c>
      <c r="E603" s="33" t="s">
        <v>38</v>
      </c>
      <c r="F603" s="28" t="s">
        <v>885</v>
      </c>
      <c r="G603" s="28" t="s">
        <v>27</v>
      </c>
      <c r="H603" s="24"/>
      <c r="I603" s="24">
        <v>1</v>
      </c>
      <c r="J603" s="28"/>
      <c r="K603" s="28"/>
      <c r="L603" s="28" t="s">
        <v>594</v>
      </c>
      <c r="M603" s="28">
        <v>202302695</v>
      </c>
      <c r="N603" s="22" t="s">
        <v>164</v>
      </c>
      <c r="O603" s="22" t="s">
        <v>903</v>
      </c>
      <c r="P603" s="22" t="s">
        <v>16</v>
      </c>
    </row>
    <row r="604" spans="1:16" ht="21" x14ac:dyDescent="0.3">
      <c r="A604" s="28">
        <f>WEEKNUM(Table1[[#This Row],[Date]])</f>
        <v>8</v>
      </c>
      <c r="B604" s="35" t="s">
        <v>574</v>
      </c>
      <c r="C604" s="31">
        <v>46070</v>
      </c>
      <c r="D604" s="27" t="s">
        <v>332</v>
      </c>
      <c r="E604" s="33" t="s">
        <v>38</v>
      </c>
      <c r="F604" s="28" t="s">
        <v>904</v>
      </c>
      <c r="G604" s="28" t="s">
        <v>8</v>
      </c>
      <c r="H604" s="24"/>
      <c r="I604" s="24">
        <v>1</v>
      </c>
      <c r="J604" s="28"/>
      <c r="K604" s="28"/>
      <c r="L604" s="28" t="s">
        <v>344</v>
      </c>
      <c r="M604" s="28">
        <v>202302696</v>
      </c>
      <c r="N604" s="28" t="s">
        <v>166</v>
      </c>
      <c r="O604" s="22" t="s">
        <v>459</v>
      </c>
      <c r="P604" s="29" t="s">
        <v>14</v>
      </c>
    </row>
    <row r="605" spans="1:16" ht="21" x14ac:dyDescent="0.3">
      <c r="A605" s="28">
        <f>WEEKNUM(Table1[[#This Row],[Date]])</f>
        <v>8</v>
      </c>
      <c r="B605" s="35" t="s">
        <v>574</v>
      </c>
      <c r="C605" s="31">
        <v>46070</v>
      </c>
      <c r="D605" s="27" t="s">
        <v>332</v>
      </c>
      <c r="E605" s="33" t="s">
        <v>38</v>
      </c>
      <c r="F605" s="28" t="s">
        <v>905</v>
      </c>
      <c r="G605" s="28" t="s">
        <v>8</v>
      </c>
      <c r="H605" s="24">
        <v>4</v>
      </c>
      <c r="I605" s="24">
        <v>1</v>
      </c>
      <c r="J605" s="28"/>
      <c r="K605" s="28"/>
      <c r="L605" s="28" t="s">
        <v>547</v>
      </c>
      <c r="M605" s="28">
        <v>202302697</v>
      </c>
      <c r="N605" s="22" t="s">
        <v>166</v>
      </c>
      <c r="O605" s="22" t="s">
        <v>906</v>
      </c>
      <c r="P605" s="22" t="s">
        <v>14</v>
      </c>
    </row>
    <row r="606" spans="1:16" ht="21" x14ac:dyDescent="0.3">
      <c r="A606" s="28">
        <f>WEEKNUM(Table1[[#This Row],[Date]])</f>
        <v>8</v>
      </c>
      <c r="B606" s="35" t="s">
        <v>574</v>
      </c>
      <c r="C606" s="31">
        <v>46070</v>
      </c>
      <c r="D606" s="27" t="s">
        <v>332</v>
      </c>
      <c r="E606" s="33" t="s">
        <v>38</v>
      </c>
      <c r="F606" s="28"/>
      <c r="G606" s="28" t="s">
        <v>27</v>
      </c>
      <c r="H606" s="24">
        <f>34-H605</f>
        <v>30</v>
      </c>
      <c r="I606" s="24"/>
      <c r="J606" s="28"/>
      <c r="K606" s="28" t="s">
        <v>934</v>
      </c>
      <c r="L606" s="28" t="s">
        <v>934</v>
      </c>
      <c r="M606" s="28"/>
      <c r="N606" s="28" t="s">
        <v>934</v>
      </c>
      <c r="O606" s="22"/>
      <c r="P606" s="29" t="s">
        <v>171</v>
      </c>
    </row>
    <row r="607" spans="1:16" ht="21" x14ac:dyDescent="0.3">
      <c r="A607" s="28">
        <f>WEEKNUM(Table1[[#This Row],[Date]])</f>
        <v>8</v>
      </c>
      <c r="B607" s="35" t="s">
        <v>574</v>
      </c>
      <c r="C607" s="31">
        <v>46071</v>
      </c>
      <c r="D607" s="27" t="s">
        <v>11</v>
      </c>
      <c r="E607" s="33" t="s">
        <v>25</v>
      </c>
      <c r="F607" s="28" t="s">
        <v>907</v>
      </c>
      <c r="G607" s="28" t="s">
        <v>27</v>
      </c>
      <c r="H607" s="24">
        <v>7</v>
      </c>
      <c r="I607" s="24">
        <v>1</v>
      </c>
      <c r="J607" s="28" t="s">
        <v>9</v>
      </c>
      <c r="K607" s="28" t="s">
        <v>349</v>
      </c>
      <c r="L607" s="28" t="s">
        <v>93</v>
      </c>
      <c r="M607" s="28">
        <v>251804</v>
      </c>
      <c r="N607" s="22" t="s">
        <v>164</v>
      </c>
      <c r="O607" s="22" t="s">
        <v>908</v>
      </c>
      <c r="P607" s="22" t="s">
        <v>11</v>
      </c>
    </row>
    <row r="608" spans="1:16" ht="21" x14ac:dyDescent="0.3">
      <c r="A608" s="28">
        <f>WEEKNUM(Table1[[#This Row],[Date]])</f>
        <v>8</v>
      </c>
      <c r="B608" s="35" t="s">
        <v>574</v>
      </c>
      <c r="C608" s="31">
        <v>46071</v>
      </c>
      <c r="D608" s="27" t="s">
        <v>11</v>
      </c>
      <c r="E608" s="33" t="s">
        <v>25</v>
      </c>
      <c r="F608" s="28" t="s">
        <v>909</v>
      </c>
      <c r="G608" s="28" t="s">
        <v>27</v>
      </c>
      <c r="H608" s="24">
        <v>25</v>
      </c>
      <c r="I608" s="24">
        <v>1</v>
      </c>
      <c r="J608" s="28" t="s">
        <v>87</v>
      </c>
      <c r="K608" s="28" t="s">
        <v>740</v>
      </c>
      <c r="L608" s="28" t="s">
        <v>201</v>
      </c>
      <c r="M608" s="28">
        <v>251805</v>
      </c>
      <c r="N608" s="28" t="s">
        <v>166</v>
      </c>
      <c r="O608" s="22"/>
      <c r="P608" s="29" t="s">
        <v>11</v>
      </c>
    </row>
    <row r="609" spans="1:16" ht="21" x14ac:dyDescent="0.3">
      <c r="A609" s="28">
        <f>WEEKNUM(Table1[[#This Row],[Date]])</f>
        <v>8</v>
      </c>
      <c r="B609" s="35" t="s">
        <v>574</v>
      </c>
      <c r="C609" s="31">
        <v>46071</v>
      </c>
      <c r="D609" s="27" t="s">
        <v>11</v>
      </c>
      <c r="E609" s="33" t="s">
        <v>25</v>
      </c>
      <c r="F609" s="28" t="s">
        <v>909</v>
      </c>
      <c r="G609" s="28" t="s">
        <v>27</v>
      </c>
      <c r="H609" s="24"/>
      <c r="I609" s="24">
        <v>1</v>
      </c>
      <c r="J609" s="28" t="s">
        <v>15</v>
      </c>
      <c r="K609" s="28" t="s">
        <v>349</v>
      </c>
      <c r="L609" s="28" t="s">
        <v>34</v>
      </c>
      <c r="M609" s="28">
        <v>251806</v>
      </c>
      <c r="N609" s="22" t="s">
        <v>166</v>
      </c>
      <c r="O609" s="22" t="s">
        <v>910</v>
      </c>
      <c r="P609" s="22" t="s">
        <v>11</v>
      </c>
    </row>
    <row r="610" spans="1:16" ht="21" x14ac:dyDescent="0.3">
      <c r="A610" s="28">
        <f>WEEKNUM(Table1[[#This Row],[Date]])</f>
        <v>8</v>
      </c>
      <c r="B610" s="35" t="s">
        <v>574</v>
      </c>
      <c r="C610" s="31">
        <v>46071</v>
      </c>
      <c r="D610" s="27" t="s">
        <v>11</v>
      </c>
      <c r="E610" s="33" t="s">
        <v>25</v>
      </c>
      <c r="F610" s="28" t="s">
        <v>911</v>
      </c>
      <c r="G610" s="28" t="s">
        <v>27</v>
      </c>
      <c r="H610" s="24">
        <v>3</v>
      </c>
      <c r="I610" s="24">
        <v>1</v>
      </c>
      <c r="J610" s="28" t="s">
        <v>912</v>
      </c>
      <c r="K610" s="28" t="s">
        <v>353</v>
      </c>
      <c r="L610" s="28" t="s">
        <v>13</v>
      </c>
      <c r="M610" s="28">
        <v>251807</v>
      </c>
      <c r="N610" s="28" t="s">
        <v>166</v>
      </c>
      <c r="O610" s="22" t="s">
        <v>656</v>
      </c>
      <c r="P610" s="29" t="s">
        <v>14</v>
      </c>
    </row>
    <row r="611" spans="1:16" ht="21" x14ac:dyDescent="0.3">
      <c r="A611" s="28">
        <f>WEEKNUM(Table1[[#This Row],[Date]])</f>
        <v>8</v>
      </c>
      <c r="B611" s="35" t="s">
        <v>574</v>
      </c>
      <c r="C611" s="31">
        <v>46071</v>
      </c>
      <c r="D611" s="27" t="s">
        <v>11</v>
      </c>
      <c r="E611" s="33" t="s">
        <v>25</v>
      </c>
      <c r="F611" s="28" t="s">
        <v>913</v>
      </c>
      <c r="G611" s="28" t="s">
        <v>8</v>
      </c>
      <c r="H611" s="24">
        <v>5</v>
      </c>
      <c r="I611" s="24">
        <v>1</v>
      </c>
      <c r="J611" s="28" t="s">
        <v>15</v>
      </c>
      <c r="K611" s="28" t="s">
        <v>349</v>
      </c>
      <c r="L611" s="28" t="s">
        <v>466</v>
      </c>
      <c r="M611" s="28">
        <v>251807</v>
      </c>
      <c r="N611" s="22" t="s">
        <v>166</v>
      </c>
      <c r="O611" s="22" t="s">
        <v>914</v>
      </c>
      <c r="P611" s="22" t="s">
        <v>11</v>
      </c>
    </row>
    <row r="612" spans="1:16" ht="21" x14ac:dyDescent="0.3">
      <c r="A612" s="28">
        <f>WEEKNUM(Table1[[#This Row],[Date]])</f>
        <v>8</v>
      </c>
      <c r="B612" s="35" t="s">
        <v>574</v>
      </c>
      <c r="C612" s="31">
        <v>46071</v>
      </c>
      <c r="D612" s="27" t="s">
        <v>11</v>
      </c>
      <c r="E612" s="33" t="s">
        <v>25</v>
      </c>
      <c r="F612" s="28" t="s">
        <v>915</v>
      </c>
      <c r="G612" s="28" t="s">
        <v>27</v>
      </c>
      <c r="H612" s="24">
        <v>40</v>
      </c>
      <c r="I612" s="24">
        <v>0</v>
      </c>
      <c r="J612" s="28"/>
      <c r="K612" s="28" t="s">
        <v>934</v>
      </c>
      <c r="L612" s="28" t="s">
        <v>934</v>
      </c>
      <c r="M612" s="28"/>
      <c r="N612" s="28" t="s">
        <v>934</v>
      </c>
      <c r="O612" s="22"/>
      <c r="P612" s="29" t="s">
        <v>171</v>
      </c>
    </row>
    <row r="613" spans="1:16" ht="21" x14ac:dyDescent="0.3">
      <c r="A613" s="28">
        <f>WEEKNUM(Table1[[#This Row],[Date]])</f>
        <v>8</v>
      </c>
      <c r="B613" s="35" t="s">
        <v>574</v>
      </c>
      <c r="C613" s="31">
        <v>46071</v>
      </c>
      <c r="D613" s="27" t="s">
        <v>11</v>
      </c>
      <c r="E613" s="33" t="s">
        <v>25</v>
      </c>
      <c r="F613" s="28" t="s">
        <v>916</v>
      </c>
      <c r="G613" s="28" t="s">
        <v>8</v>
      </c>
      <c r="H613" s="24">
        <v>6</v>
      </c>
      <c r="I613" s="24">
        <v>0</v>
      </c>
      <c r="J613" s="28"/>
      <c r="K613" s="28" t="s">
        <v>934</v>
      </c>
      <c r="L613" s="28" t="s">
        <v>934</v>
      </c>
      <c r="M613" s="28"/>
      <c r="N613" s="22" t="s">
        <v>934</v>
      </c>
      <c r="O613" s="22"/>
      <c r="P613" s="22" t="s">
        <v>171</v>
      </c>
    </row>
    <row r="614" spans="1:16" ht="21" x14ac:dyDescent="0.3">
      <c r="A614" s="28">
        <f>WEEKNUM(Table1[[#This Row],[Date]])</f>
        <v>8</v>
      </c>
      <c r="B614" s="35" t="s">
        <v>574</v>
      </c>
      <c r="C614" s="31">
        <v>46071</v>
      </c>
      <c r="D614" s="27" t="s">
        <v>11</v>
      </c>
      <c r="E614" s="33" t="s">
        <v>25</v>
      </c>
      <c r="F614" s="28" t="s">
        <v>892</v>
      </c>
      <c r="G614" s="28" t="s">
        <v>8</v>
      </c>
      <c r="H614" s="24">
        <v>5</v>
      </c>
      <c r="I614" s="24">
        <v>0</v>
      </c>
      <c r="J614" s="28"/>
      <c r="K614" s="28" t="s">
        <v>934</v>
      </c>
      <c r="L614" s="28" t="s">
        <v>934</v>
      </c>
      <c r="M614" s="28"/>
      <c r="N614" s="28" t="s">
        <v>934</v>
      </c>
      <c r="O614" s="22"/>
      <c r="P614" s="29" t="s">
        <v>171</v>
      </c>
    </row>
    <row r="615" spans="1:16" ht="21" x14ac:dyDescent="0.3">
      <c r="A615" s="28">
        <f>WEEKNUM(Table1[[#This Row],[Date]])</f>
        <v>8</v>
      </c>
      <c r="B615" s="35" t="s">
        <v>574</v>
      </c>
      <c r="C615" s="31">
        <v>46071</v>
      </c>
      <c r="D615" s="27" t="s">
        <v>11</v>
      </c>
      <c r="E615" s="33" t="s">
        <v>25</v>
      </c>
      <c r="F615" s="28" t="s">
        <v>917</v>
      </c>
      <c r="G615" s="28" t="s">
        <v>27</v>
      </c>
      <c r="H615" s="24">
        <v>2</v>
      </c>
      <c r="I615" s="24">
        <v>0</v>
      </c>
      <c r="J615" s="28"/>
      <c r="K615" s="28" t="s">
        <v>934</v>
      </c>
      <c r="L615" s="28" t="s">
        <v>934</v>
      </c>
      <c r="M615" s="28"/>
      <c r="N615" s="22" t="s">
        <v>934</v>
      </c>
      <c r="O615" s="22"/>
      <c r="P615" s="22" t="s">
        <v>171</v>
      </c>
    </row>
    <row r="616" spans="1:16" ht="21" x14ac:dyDescent="0.3">
      <c r="A616" s="28">
        <f>WEEKNUM(Table1[[#This Row],[Date]])</f>
        <v>8</v>
      </c>
      <c r="B616" s="35" t="s">
        <v>574</v>
      </c>
      <c r="C616" s="31">
        <v>46071</v>
      </c>
      <c r="D616" s="27" t="s">
        <v>11</v>
      </c>
      <c r="E616" s="33" t="s">
        <v>25</v>
      </c>
      <c r="F616" s="28" t="s">
        <v>918</v>
      </c>
      <c r="G616" s="28" t="s">
        <v>27</v>
      </c>
      <c r="H616" s="24">
        <v>7</v>
      </c>
      <c r="I616" s="24">
        <v>1</v>
      </c>
      <c r="J616" s="28" t="s">
        <v>17</v>
      </c>
      <c r="K616" s="28" t="s">
        <v>349</v>
      </c>
      <c r="L616" s="28" t="s">
        <v>715</v>
      </c>
      <c r="M616" s="28">
        <v>251808</v>
      </c>
      <c r="N616" s="28" t="s">
        <v>166</v>
      </c>
      <c r="O616" s="22"/>
      <c r="P616" s="29" t="s">
        <v>11</v>
      </c>
    </row>
    <row r="617" spans="1:16" ht="21" x14ac:dyDescent="0.3">
      <c r="A617" s="28">
        <f>WEEKNUM(Table1[[#This Row],[Date]])</f>
        <v>8</v>
      </c>
      <c r="B617" s="35" t="s">
        <v>574</v>
      </c>
      <c r="C617" s="31">
        <v>46071</v>
      </c>
      <c r="D617" s="27" t="s">
        <v>11</v>
      </c>
      <c r="E617" s="33" t="s">
        <v>25</v>
      </c>
      <c r="F617" s="28" t="s">
        <v>919</v>
      </c>
      <c r="G617" s="28" t="s">
        <v>8</v>
      </c>
      <c r="H617" s="24">
        <v>4</v>
      </c>
      <c r="I617" s="24">
        <v>0</v>
      </c>
      <c r="J617" s="28"/>
      <c r="K617" s="28" t="s">
        <v>934</v>
      </c>
      <c r="L617" s="28" t="s">
        <v>934</v>
      </c>
      <c r="M617" s="28"/>
      <c r="N617" s="22" t="s">
        <v>934</v>
      </c>
      <c r="O617" s="22"/>
      <c r="P617" s="22" t="s">
        <v>171</v>
      </c>
    </row>
    <row r="618" spans="1:16" ht="21" x14ac:dyDescent="0.3">
      <c r="A618" s="28">
        <f>WEEKNUM(Table1[[#This Row],[Date]])</f>
        <v>8</v>
      </c>
      <c r="B618" s="35" t="s">
        <v>574</v>
      </c>
      <c r="C618" s="31">
        <v>46071</v>
      </c>
      <c r="D618" s="27" t="s">
        <v>11</v>
      </c>
      <c r="E618" s="33" t="s">
        <v>886</v>
      </c>
      <c r="F618" s="28" t="s">
        <v>920</v>
      </c>
      <c r="G618" s="28" t="s">
        <v>8</v>
      </c>
      <c r="H618" s="24">
        <v>5</v>
      </c>
      <c r="I618" s="24">
        <v>0</v>
      </c>
      <c r="J618" s="28"/>
      <c r="K618" s="28" t="s">
        <v>934</v>
      </c>
      <c r="L618" s="28" t="s">
        <v>934</v>
      </c>
      <c r="M618" s="28"/>
      <c r="N618" s="28" t="s">
        <v>934</v>
      </c>
      <c r="O618" s="22"/>
      <c r="P618" s="29" t="s">
        <v>171</v>
      </c>
    </row>
    <row r="619" spans="1:16" ht="21" x14ac:dyDescent="0.3">
      <c r="A619" s="28">
        <f>WEEKNUM(Table1[[#This Row],[Date]])</f>
        <v>8</v>
      </c>
      <c r="B619" s="35" t="s">
        <v>574</v>
      </c>
      <c r="C619" s="31">
        <v>46071</v>
      </c>
      <c r="D619" s="27" t="s">
        <v>11</v>
      </c>
      <c r="E619" s="33" t="s">
        <v>18</v>
      </c>
      <c r="F619" s="28" t="s">
        <v>921</v>
      </c>
      <c r="G619" s="28" t="s">
        <v>8</v>
      </c>
      <c r="H619" s="24">
        <v>4</v>
      </c>
      <c r="I619" s="24">
        <v>0</v>
      </c>
      <c r="J619" s="28"/>
      <c r="K619" s="28" t="s">
        <v>934</v>
      </c>
      <c r="L619" s="28" t="s">
        <v>934</v>
      </c>
      <c r="M619" s="28"/>
      <c r="N619" s="22" t="s">
        <v>934</v>
      </c>
      <c r="O619" s="22"/>
      <c r="P619" s="22" t="s">
        <v>171</v>
      </c>
    </row>
    <row r="620" spans="1:16" ht="21" x14ac:dyDescent="0.3">
      <c r="A620" s="28">
        <f>WEEKNUM(Table1[[#This Row],[Date]])</f>
        <v>8</v>
      </c>
      <c r="B620" s="35" t="s">
        <v>574</v>
      </c>
      <c r="C620" s="31">
        <v>46071</v>
      </c>
      <c r="D620" s="27" t="s">
        <v>11</v>
      </c>
      <c r="E620" s="33" t="s">
        <v>18</v>
      </c>
      <c r="F620" s="28" t="s">
        <v>922</v>
      </c>
      <c r="G620" s="28" t="s">
        <v>8</v>
      </c>
      <c r="H620" s="24">
        <v>5</v>
      </c>
      <c r="I620" s="24">
        <v>0</v>
      </c>
      <c r="J620" s="28"/>
      <c r="K620" s="28" t="s">
        <v>934</v>
      </c>
      <c r="L620" s="28" t="s">
        <v>934</v>
      </c>
      <c r="M620" s="28"/>
      <c r="N620" s="28" t="s">
        <v>934</v>
      </c>
      <c r="O620" s="22"/>
      <c r="P620" s="29" t="s">
        <v>171</v>
      </c>
    </row>
    <row r="621" spans="1:16" ht="21" x14ac:dyDescent="0.3">
      <c r="A621" s="28">
        <f>WEEKNUM(Table1[[#This Row],[Date]])</f>
        <v>8</v>
      </c>
      <c r="B621" s="35" t="s">
        <v>574</v>
      </c>
      <c r="C621" s="31">
        <v>46071</v>
      </c>
      <c r="D621" s="27" t="s">
        <v>11</v>
      </c>
      <c r="E621" s="33" t="s">
        <v>18</v>
      </c>
      <c r="F621" s="28" t="s">
        <v>923</v>
      </c>
      <c r="G621" s="28" t="s">
        <v>8</v>
      </c>
      <c r="H621" s="24">
        <v>5</v>
      </c>
      <c r="I621" s="24">
        <v>0</v>
      </c>
      <c r="J621" s="28"/>
      <c r="K621" s="28" t="s">
        <v>934</v>
      </c>
      <c r="L621" s="28" t="s">
        <v>934</v>
      </c>
      <c r="M621" s="28"/>
      <c r="N621" s="22" t="s">
        <v>934</v>
      </c>
      <c r="O621" s="22"/>
      <c r="P621" s="22" t="s">
        <v>171</v>
      </c>
    </row>
    <row r="622" spans="1:16" ht="21" x14ac:dyDescent="0.3">
      <c r="A622" s="28">
        <f>WEEKNUM(Table1[[#This Row],[Date]])</f>
        <v>8</v>
      </c>
      <c r="B622" s="35" t="s">
        <v>574</v>
      </c>
      <c r="C622" s="31">
        <v>46071</v>
      </c>
      <c r="D622" s="27" t="s">
        <v>11</v>
      </c>
      <c r="E622" s="33" t="s">
        <v>18</v>
      </c>
      <c r="F622" s="28" t="s">
        <v>510</v>
      </c>
      <c r="G622" s="28" t="s">
        <v>27</v>
      </c>
      <c r="H622" s="24">
        <v>20</v>
      </c>
      <c r="I622" s="24">
        <v>0</v>
      </c>
      <c r="J622" s="28"/>
      <c r="K622" s="28" t="s">
        <v>934</v>
      </c>
      <c r="L622" s="28" t="s">
        <v>934</v>
      </c>
      <c r="M622" s="28"/>
      <c r="N622" s="28" t="s">
        <v>934</v>
      </c>
      <c r="O622" s="22"/>
      <c r="P622" s="29" t="s">
        <v>171</v>
      </c>
    </row>
    <row r="623" spans="1:16" ht="21" x14ac:dyDescent="0.3">
      <c r="A623" s="28">
        <f>WEEKNUM(Table1[[#This Row],[Date]])</f>
        <v>8</v>
      </c>
      <c r="B623" s="35" t="s">
        <v>574</v>
      </c>
      <c r="C623" s="31">
        <v>46071</v>
      </c>
      <c r="D623" s="27" t="s">
        <v>11</v>
      </c>
      <c r="E623" s="33" t="s">
        <v>18</v>
      </c>
      <c r="F623" s="28" t="s">
        <v>924</v>
      </c>
      <c r="G623" s="28" t="s">
        <v>27</v>
      </c>
      <c r="H623" s="24">
        <v>16</v>
      </c>
      <c r="I623" s="24">
        <v>0</v>
      </c>
      <c r="J623" s="28"/>
      <c r="K623" s="28" t="s">
        <v>934</v>
      </c>
      <c r="L623" s="28" t="s">
        <v>934</v>
      </c>
      <c r="M623" s="28"/>
      <c r="N623" s="22" t="s">
        <v>934</v>
      </c>
      <c r="O623" s="22"/>
      <c r="P623" s="22" t="s">
        <v>171</v>
      </c>
    </row>
    <row r="624" spans="1:16" ht="21" x14ac:dyDescent="0.3">
      <c r="A624" s="28">
        <f>WEEKNUM(Table1[[#This Row],[Date]])</f>
        <v>8</v>
      </c>
      <c r="B624" s="35" t="s">
        <v>574</v>
      </c>
      <c r="C624" s="31">
        <v>46071</v>
      </c>
      <c r="D624" s="27" t="s">
        <v>11</v>
      </c>
      <c r="E624" s="33" t="s">
        <v>18</v>
      </c>
      <c r="F624" s="28" t="s">
        <v>925</v>
      </c>
      <c r="G624" s="28" t="s">
        <v>27</v>
      </c>
      <c r="H624" s="24">
        <v>5</v>
      </c>
      <c r="I624" s="24">
        <v>0</v>
      </c>
      <c r="J624" s="28"/>
      <c r="K624" s="28" t="s">
        <v>934</v>
      </c>
      <c r="L624" s="28" t="s">
        <v>934</v>
      </c>
      <c r="M624" s="28"/>
      <c r="N624" s="28" t="s">
        <v>934</v>
      </c>
      <c r="O624" s="22"/>
      <c r="P624" s="29" t="s">
        <v>171</v>
      </c>
    </row>
    <row r="625" spans="1:16" ht="21" x14ac:dyDescent="0.3">
      <c r="A625" s="28">
        <f>WEEKNUM(Table1[[#This Row],[Date]])</f>
        <v>8</v>
      </c>
      <c r="B625" s="35" t="s">
        <v>574</v>
      </c>
      <c r="C625" s="31">
        <v>46071</v>
      </c>
      <c r="D625" s="27" t="s">
        <v>11</v>
      </c>
      <c r="E625" s="33" t="s">
        <v>18</v>
      </c>
      <c r="F625" s="28" t="s">
        <v>926</v>
      </c>
      <c r="G625" s="28" t="s">
        <v>27</v>
      </c>
      <c r="H625" s="24">
        <v>10</v>
      </c>
      <c r="I625" s="24">
        <v>2</v>
      </c>
      <c r="J625" s="28" t="s">
        <v>197</v>
      </c>
      <c r="K625" s="28" t="s">
        <v>740</v>
      </c>
      <c r="L625" s="28" t="s">
        <v>201</v>
      </c>
      <c r="M625" s="28">
        <v>251809</v>
      </c>
      <c r="N625" s="22" t="s">
        <v>166</v>
      </c>
      <c r="O625" s="22" t="s">
        <v>927</v>
      </c>
      <c r="P625" s="22" t="s">
        <v>11</v>
      </c>
    </row>
    <row r="626" spans="1:16" ht="21" x14ac:dyDescent="0.3">
      <c r="A626" s="28">
        <f>WEEKNUM(Table1[[#This Row],[Date]])</f>
        <v>8</v>
      </c>
      <c r="B626" s="35" t="s">
        <v>574</v>
      </c>
      <c r="C626" s="31">
        <v>46071</v>
      </c>
      <c r="D626" s="27" t="s">
        <v>11</v>
      </c>
      <c r="E626" s="33" t="s">
        <v>18</v>
      </c>
      <c r="F626" s="28" t="s">
        <v>928</v>
      </c>
      <c r="G626" s="28" t="s">
        <v>27</v>
      </c>
      <c r="H626" s="24">
        <v>9</v>
      </c>
      <c r="I626" s="24">
        <v>1</v>
      </c>
      <c r="J626" s="28" t="s">
        <v>12</v>
      </c>
      <c r="K626" s="28" t="s">
        <v>61</v>
      </c>
      <c r="L626" s="28" t="s">
        <v>466</v>
      </c>
      <c r="M626" s="28">
        <v>251810</v>
      </c>
      <c r="N626" s="28" t="s">
        <v>166</v>
      </c>
      <c r="O626" s="22" t="s">
        <v>712</v>
      </c>
      <c r="P626" s="29" t="s">
        <v>16</v>
      </c>
    </row>
    <row r="627" spans="1:16" ht="21" x14ac:dyDescent="0.3">
      <c r="A627" s="28">
        <f>WEEKNUM(Table1[[#This Row],[Date]])</f>
        <v>8</v>
      </c>
      <c r="B627" s="35" t="s">
        <v>574</v>
      </c>
      <c r="C627" s="31">
        <v>46071</v>
      </c>
      <c r="D627" s="27" t="s">
        <v>332</v>
      </c>
      <c r="E627" s="33" t="s">
        <v>38</v>
      </c>
      <c r="F627" s="28" t="s">
        <v>929</v>
      </c>
      <c r="G627" s="28" t="s">
        <v>8</v>
      </c>
      <c r="H627" s="24"/>
      <c r="I627" s="24">
        <v>1</v>
      </c>
      <c r="J627" s="28"/>
      <c r="K627" s="28" t="s">
        <v>353</v>
      </c>
      <c r="L627" s="28" t="s">
        <v>39</v>
      </c>
      <c r="M627" s="28">
        <v>202302701</v>
      </c>
      <c r="N627" s="22" t="s">
        <v>166</v>
      </c>
      <c r="O627" s="22" t="s">
        <v>930</v>
      </c>
      <c r="P627" s="22" t="s">
        <v>14</v>
      </c>
    </row>
    <row r="628" spans="1:16" ht="21" x14ac:dyDescent="0.3">
      <c r="A628" s="28">
        <f>WEEKNUM(Table1[[#This Row],[Date]])</f>
        <v>8</v>
      </c>
      <c r="B628" s="35" t="s">
        <v>574</v>
      </c>
      <c r="C628" s="31">
        <v>46071</v>
      </c>
      <c r="D628" s="27" t="s">
        <v>332</v>
      </c>
      <c r="E628" s="33" t="s">
        <v>38</v>
      </c>
      <c r="F628" s="28" t="s">
        <v>868</v>
      </c>
      <c r="G628" s="28" t="s">
        <v>8</v>
      </c>
      <c r="H628" s="24"/>
      <c r="I628" s="24">
        <v>1</v>
      </c>
      <c r="J628" s="28"/>
      <c r="K628" s="28" t="s">
        <v>353</v>
      </c>
      <c r="L628" s="28" t="s">
        <v>344</v>
      </c>
      <c r="M628" s="28">
        <v>202302702</v>
      </c>
      <c r="N628" s="22" t="s">
        <v>166</v>
      </c>
      <c r="O628" s="22" t="s">
        <v>931</v>
      </c>
      <c r="P628" s="22" t="s">
        <v>14</v>
      </c>
    </row>
    <row r="629" spans="1:16" ht="21" x14ac:dyDescent="0.3">
      <c r="A629" s="28">
        <f>WEEKNUM(Table1[[#This Row],[Date]])</f>
        <v>8</v>
      </c>
      <c r="B629" s="35" t="s">
        <v>574</v>
      </c>
      <c r="C629" s="31">
        <v>46071</v>
      </c>
      <c r="D629" s="27" t="s">
        <v>332</v>
      </c>
      <c r="E629" s="33" t="s">
        <v>38</v>
      </c>
      <c r="F629" s="28" t="s">
        <v>932</v>
      </c>
      <c r="G629" s="28" t="s">
        <v>8</v>
      </c>
      <c r="H629" s="24">
        <v>7</v>
      </c>
      <c r="I629" s="24">
        <v>1</v>
      </c>
      <c r="J629" s="28"/>
      <c r="K629" s="28" t="s">
        <v>353</v>
      </c>
      <c r="L629" s="28" t="s">
        <v>118</v>
      </c>
      <c r="M629" s="28">
        <v>202302703</v>
      </c>
      <c r="N629" s="22" t="s">
        <v>164</v>
      </c>
      <c r="O629" s="22" t="s">
        <v>933</v>
      </c>
      <c r="P629" s="22" t="s">
        <v>14</v>
      </c>
    </row>
    <row r="630" spans="1:16" ht="21" x14ac:dyDescent="0.3">
      <c r="A630" s="28">
        <f>WEEKNUM(Table1[[#This Row],[Date]])</f>
        <v>8</v>
      </c>
      <c r="B630" s="35" t="s">
        <v>574</v>
      </c>
      <c r="C630" s="31">
        <v>46071</v>
      </c>
      <c r="D630" s="27" t="s">
        <v>332</v>
      </c>
      <c r="E630" s="33" t="s">
        <v>38</v>
      </c>
      <c r="F630" s="28"/>
      <c r="G630" s="28" t="s">
        <v>27</v>
      </c>
      <c r="H630" s="24">
        <f>41-H629</f>
        <v>34</v>
      </c>
      <c r="I630" s="24"/>
      <c r="J630" s="28"/>
      <c r="K630" s="28" t="s">
        <v>934</v>
      </c>
      <c r="L630" s="28" t="s">
        <v>934</v>
      </c>
      <c r="M630" s="28"/>
      <c r="N630" s="28" t="s">
        <v>934</v>
      </c>
      <c r="O630" s="22"/>
      <c r="P630" s="29" t="s">
        <v>171</v>
      </c>
    </row>
    <row r="631" spans="1:16" ht="21" x14ac:dyDescent="0.3">
      <c r="A631" s="28">
        <f>WEEKNUM(Table1[[#This Row],[Date]])</f>
        <v>8</v>
      </c>
      <c r="B631" s="35" t="s">
        <v>574</v>
      </c>
      <c r="C631" s="31">
        <v>46072</v>
      </c>
      <c r="D631" s="27" t="s">
        <v>11</v>
      </c>
      <c r="E631" s="33" t="s">
        <v>25</v>
      </c>
      <c r="F631" s="28" t="s">
        <v>935</v>
      </c>
      <c r="G631" s="28" t="s">
        <v>27</v>
      </c>
      <c r="H631" s="24">
        <v>12</v>
      </c>
      <c r="I631" s="24">
        <v>0</v>
      </c>
      <c r="J631" s="28"/>
      <c r="K631" s="28" t="s">
        <v>934</v>
      </c>
      <c r="L631" s="28" t="s">
        <v>934</v>
      </c>
      <c r="M631" s="28"/>
      <c r="N631" s="28" t="s">
        <v>934</v>
      </c>
      <c r="O631" s="22"/>
      <c r="P631" s="29" t="s">
        <v>171</v>
      </c>
    </row>
    <row r="632" spans="1:16" ht="21" x14ac:dyDescent="0.3">
      <c r="A632" s="28">
        <f>WEEKNUM(Table1[[#This Row],[Date]])</f>
        <v>8</v>
      </c>
      <c r="B632" s="35" t="s">
        <v>574</v>
      </c>
      <c r="C632" s="31">
        <v>46072</v>
      </c>
      <c r="D632" s="27" t="s">
        <v>11</v>
      </c>
      <c r="E632" s="33" t="s">
        <v>25</v>
      </c>
      <c r="F632" s="28" t="s">
        <v>747</v>
      </c>
      <c r="G632" s="28" t="s">
        <v>27</v>
      </c>
      <c r="H632" s="24">
        <v>42</v>
      </c>
      <c r="I632" s="24">
        <v>1</v>
      </c>
      <c r="J632" s="28" t="s">
        <v>12</v>
      </c>
      <c r="K632" s="28" t="s">
        <v>740</v>
      </c>
      <c r="L632" s="28" t="s">
        <v>959</v>
      </c>
      <c r="M632" s="28">
        <v>251811</v>
      </c>
      <c r="N632" s="22" t="s">
        <v>169</v>
      </c>
      <c r="O632" s="22" t="s">
        <v>936</v>
      </c>
      <c r="P632" s="22" t="s">
        <v>11</v>
      </c>
    </row>
    <row r="633" spans="1:16" ht="21" x14ac:dyDescent="0.3">
      <c r="A633" s="28">
        <f>WEEKNUM(Table1[[#This Row],[Date]])</f>
        <v>8</v>
      </c>
      <c r="B633" s="35" t="s">
        <v>574</v>
      </c>
      <c r="C633" s="31">
        <v>46072</v>
      </c>
      <c r="D633" s="27" t="s">
        <v>11</v>
      </c>
      <c r="E633" s="33" t="s">
        <v>25</v>
      </c>
      <c r="F633" s="28" t="s">
        <v>937</v>
      </c>
      <c r="G633" s="28" t="s">
        <v>27</v>
      </c>
      <c r="H633" s="24">
        <v>6</v>
      </c>
      <c r="I633" s="24">
        <v>1</v>
      </c>
      <c r="J633" s="28" t="s">
        <v>12</v>
      </c>
      <c r="K633" s="28" t="s">
        <v>349</v>
      </c>
      <c r="L633" s="28" t="s">
        <v>13</v>
      </c>
      <c r="M633" s="28">
        <v>251812</v>
      </c>
      <c r="N633" s="22" t="s">
        <v>166</v>
      </c>
      <c r="O633" s="22" t="s">
        <v>938</v>
      </c>
      <c r="P633" s="22" t="s">
        <v>11</v>
      </c>
    </row>
    <row r="634" spans="1:16" ht="21" x14ac:dyDescent="0.3">
      <c r="A634" s="28">
        <f>WEEKNUM(Table1[[#This Row],[Date]])</f>
        <v>8</v>
      </c>
      <c r="B634" s="35" t="s">
        <v>574</v>
      </c>
      <c r="C634" s="31">
        <v>46072</v>
      </c>
      <c r="D634" s="27" t="s">
        <v>11</v>
      </c>
      <c r="E634" s="33" t="s">
        <v>25</v>
      </c>
      <c r="F634" s="28" t="s">
        <v>939</v>
      </c>
      <c r="G634" s="28" t="s">
        <v>27</v>
      </c>
      <c r="H634" s="24">
        <v>6</v>
      </c>
      <c r="I634" s="24">
        <v>0</v>
      </c>
      <c r="J634" s="28"/>
      <c r="K634" s="28" t="s">
        <v>934</v>
      </c>
      <c r="L634" s="28" t="s">
        <v>934</v>
      </c>
      <c r="M634" s="28"/>
      <c r="N634" s="28" t="s">
        <v>934</v>
      </c>
      <c r="O634" s="22"/>
      <c r="P634" s="29" t="s">
        <v>171</v>
      </c>
    </row>
    <row r="635" spans="1:16" ht="21" x14ac:dyDescent="0.3">
      <c r="A635" s="28">
        <f>WEEKNUM(Table1[[#This Row],[Date]])</f>
        <v>8</v>
      </c>
      <c r="B635" s="35" t="s">
        <v>574</v>
      </c>
      <c r="C635" s="31">
        <v>46072</v>
      </c>
      <c r="D635" s="27" t="s">
        <v>11</v>
      </c>
      <c r="E635" s="33" t="s">
        <v>25</v>
      </c>
      <c r="F635" s="28" t="s">
        <v>940</v>
      </c>
      <c r="G635" s="28" t="s">
        <v>27</v>
      </c>
      <c r="H635" s="24">
        <v>6</v>
      </c>
      <c r="I635" s="24">
        <v>0</v>
      </c>
      <c r="J635" s="28"/>
      <c r="K635" s="28" t="s">
        <v>934</v>
      </c>
      <c r="L635" s="28" t="s">
        <v>934</v>
      </c>
      <c r="M635" s="28"/>
      <c r="N635" s="28" t="s">
        <v>934</v>
      </c>
      <c r="O635" s="22"/>
      <c r="P635" s="29" t="s">
        <v>171</v>
      </c>
    </row>
    <row r="636" spans="1:16" ht="21" x14ac:dyDescent="0.3">
      <c r="A636" s="28">
        <f>WEEKNUM(Table1[[#This Row],[Date]])</f>
        <v>8</v>
      </c>
      <c r="B636" s="35" t="s">
        <v>574</v>
      </c>
      <c r="C636" s="31">
        <v>46072</v>
      </c>
      <c r="D636" s="27" t="s">
        <v>11</v>
      </c>
      <c r="E636" s="33" t="s">
        <v>25</v>
      </c>
      <c r="F636" s="28" t="s">
        <v>941</v>
      </c>
      <c r="G636" s="28" t="s">
        <v>27</v>
      </c>
      <c r="H636" s="24">
        <v>6</v>
      </c>
      <c r="I636" s="24">
        <v>0</v>
      </c>
      <c r="J636" s="28"/>
      <c r="K636" s="28" t="s">
        <v>934</v>
      </c>
      <c r="L636" s="28" t="s">
        <v>934</v>
      </c>
      <c r="M636" s="28"/>
      <c r="N636" s="28" t="s">
        <v>934</v>
      </c>
      <c r="O636" s="22"/>
      <c r="P636" s="29" t="s">
        <v>171</v>
      </c>
    </row>
    <row r="637" spans="1:16" ht="21" x14ac:dyDescent="0.3">
      <c r="A637" s="28">
        <f>WEEKNUM(Table1[[#This Row],[Date]])</f>
        <v>8</v>
      </c>
      <c r="B637" s="35" t="s">
        <v>574</v>
      </c>
      <c r="C637" s="31">
        <v>46072</v>
      </c>
      <c r="D637" s="27" t="s">
        <v>11</v>
      </c>
      <c r="E637" s="33" t="s">
        <v>25</v>
      </c>
      <c r="F637" s="28" t="s">
        <v>942</v>
      </c>
      <c r="G637" s="28" t="s">
        <v>27</v>
      </c>
      <c r="H637" s="24">
        <v>6</v>
      </c>
      <c r="I637" s="24">
        <v>0</v>
      </c>
      <c r="J637" s="28"/>
      <c r="K637" s="28" t="s">
        <v>934</v>
      </c>
      <c r="L637" s="28" t="s">
        <v>934</v>
      </c>
      <c r="M637" s="28"/>
      <c r="N637" s="28" t="s">
        <v>934</v>
      </c>
      <c r="O637" s="22"/>
      <c r="P637" s="29" t="s">
        <v>171</v>
      </c>
    </row>
    <row r="638" spans="1:16" ht="21" x14ac:dyDescent="0.3">
      <c r="A638" s="28">
        <f>WEEKNUM(Table1[[#This Row],[Date]])</f>
        <v>8</v>
      </c>
      <c r="B638" s="35" t="s">
        <v>574</v>
      </c>
      <c r="C638" s="31">
        <v>46072</v>
      </c>
      <c r="D638" s="27" t="s">
        <v>11</v>
      </c>
      <c r="E638" s="33" t="s">
        <v>25</v>
      </c>
      <c r="F638" s="28" t="s">
        <v>943</v>
      </c>
      <c r="G638" s="28" t="s">
        <v>8</v>
      </c>
      <c r="H638" s="24">
        <v>6</v>
      </c>
      <c r="I638" s="24">
        <v>0</v>
      </c>
      <c r="J638" s="28"/>
      <c r="K638" s="28" t="s">
        <v>934</v>
      </c>
      <c r="L638" s="28" t="s">
        <v>934</v>
      </c>
      <c r="M638" s="28"/>
      <c r="N638" s="28" t="s">
        <v>934</v>
      </c>
      <c r="O638" s="22"/>
      <c r="P638" s="29" t="s">
        <v>171</v>
      </c>
    </row>
    <row r="639" spans="1:16" ht="21" x14ac:dyDescent="0.3">
      <c r="A639" s="28">
        <f>WEEKNUM(Table1[[#This Row],[Date]])</f>
        <v>8</v>
      </c>
      <c r="B639" s="35" t="s">
        <v>574</v>
      </c>
      <c r="C639" s="31">
        <v>46072</v>
      </c>
      <c r="D639" s="27" t="s">
        <v>11</v>
      </c>
      <c r="E639" s="33" t="s">
        <v>25</v>
      </c>
      <c r="F639" s="28" t="s">
        <v>944</v>
      </c>
      <c r="G639" s="28" t="s">
        <v>8</v>
      </c>
      <c r="H639" s="24">
        <v>6</v>
      </c>
      <c r="I639" s="24">
        <v>0</v>
      </c>
      <c r="J639" s="28"/>
      <c r="K639" s="28" t="s">
        <v>934</v>
      </c>
      <c r="L639" s="28" t="s">
        <v>934</v>
      </c>
      <c r="M639" s="28"/>
      <c r="N639" s="28" t="s">
        <v>934</v>
      </c>
      <c r="O639" s="22"/>
      <c r="P639" s="29" t="s">
        <v>171</v>
      </c>
    </row>
    <row r="640" spans="1:16" ht="21" x14ac:dyDescent="0.3">
      <c r="A640" s="28">
        <f>WEEKNUM(Table1[[#This Row],[Date]])</f>
        <v>8</v>
      </c>
      <c r="B640" s="35" t="s">
        <v>574</v>
      </c>
      <c r="C640" s="31">
        <v>46072</v>
      </c>
      <c r="D640" s="27" t="s">
        <v>11</v>
      </c>
      <c r="E640" s="33" t="s">
        <v>886</v>
      </c>
      <c r="F640" s="28" t="s">
        <v>945</v>
      </c>
      <c r="G640" s="28" t="s">
        <v>8</v>
      </c>
      <c r="H640" s="24">
        <v>6</v>
      </c>
      <c r="I640" s="24">
        <v>0</v>
      </c>
      <c r="J640" s="28"/>
      <c r="K640" s="28" t="s">
        <v>934</v>
      </c>
      <c r="L640" s="28" t="s">
        <v>934</v>
      </c>
      <c r="M640" s="28"/>
      <c r="N640" s="28" t="s">
        <v>934</v>
      </c>
      <c r="O640" s="22"/>
      <c r="P640" s="29" t="s">
        <v>171</v>
      </c>
    </row>
    <row r="641" spans="1:16" ht="21" x14ac:dyDescent="0.3">
      <c r="A641" s="28">
        <f>WEEKNUM(Table1[[#This Row],[Date]])</f>
        <v>8</v>
      </c>
      <c r="B641" s="35" t="s">
        <v>574</v>
      </c>
      <c r="C641" s="31">
        <v>46072</v>
      </c>
      <c r="D641" s="27" t="s">
        <v>11</v>
      </c>
      <c r="E641" s="33" t="s">
        <v>25</v>
      </c>
      <c r="F641" s="28" t="s">
        <v>946</v>
      </c>
      <c r="G641" s="28" t="s">
        <v>8</v>
      </c>
      <c r="H641" s="24">
        <v>7</v>
      </c>
      <c r="I641" s="24">
        <v>0</v>
      </c>
      <c r="J641" s="28"/>
      <c r="K641" s="28" t="s">
        <v>934</v>
      </c>
      <c r="L641" s="28" t="s">
        <v>934</v>
      </c>
      <c r="M641" s="28"/>
      <c r="N641" s="28" t="s">
        <v>934</v>
      </c>
      <c r="O641" s="22"/>
      <c r="P641" s="29" t="s">
        <v>171</v>
      </c>
    </row>
    <row r="642" spans="1:16" ht="21" x14ac:dyDescent="0.3">
      <c r="A642" s="28">
        <f>WEEKNUM(Table1[[#This Row],[Date]])</f>
        <v>8</v>
      </c>
      <c r="B642" s="35" t="s">
        <v>574</v>
      </c>
      <c r="C642" s="31">
        <v>46072</v>
      </c>
      <c r="D642" s="27" t="s">
        <v>11</v>
      </c>
      <c r="E642" s="33" t="s">
        <v>25</v>
      </c>
      <c r="F642" s="28" t="s">
        <v>947</v>
      </c>
      <c r="G642" s="28" t="s">
        <v>27</v>
      </c>
      <c r="H642" s="24">
        <v>1</v>
      </c>
      <c r="I642" s="24">
        <v>1</v>
      </c>
      <c r="J642" s="28" t="s">
        <v>197</v>
      </c>
      <c r="K642" s="28" t="s">
        <v>349</v>
      </c>
      <c r="L642" s="28" t="s">
        <v>159</v>
      </c>
      <c r="M642" s="28">
        <v>251813</v>
      </c>
      <c r="N642" s="22" t="s">
        <v>164</v>
      </c>
      <c r="O642" s="22" t="s">
        <v>159</v>
      </c>
      <c r="P642" s="22" t="s">
        <v>11</v>
      </c>
    </row>
    <row r="643" spans="1:16" ht="21" x14ac:dyDescent="0.3">
      <c r="A643" s="28">
        <f>WEEKNUM(Table1[[#This Row],[Date]])</f>
        <v>8</v>
      </c>
      <c r="B643" s="35" t="s">
        <v>574</v>
      </c>
      <c r="C643" s="31">
        <v>46072</v>
      </c>
      <c r="D643" s="27" t="s">
        <v>11</v>
      </c>
      <c r="E643" s="33" t="s">
        <v>18</v>
      </c>
      <c r="F643" s="28" t="s">
        <v>907</v>
      </c>
      <c r="G643" s="28" t="s">
        <v>27</v>
      </c>
      <c r="H643" s="24">
        <v>7</v>
      </c>
      <c r="I643" s="24">
        <v>0</v>
      </c>
      <c r="J643" s="28"/>
      <c r="K643" s="28" t="s">
        <v>934</v>
      </c>
      <c r="L643" s="28" t="s">
        <v>934</v>
      </c>
      <c r="M643" s="28"/>
      <c r="N643" s="28" t="s">
        <v>934</v>
      </c>
      <c r="O643" s="22"/>
      <c r="P643" s="29" t="s">
        <v>171</v>
      </c>
    </row>
    <row r="644" spans="1:16" ht="21" x14ac:dyDescent="0.3">
      <c r="A644" s="28">
        <f>WEEKNUM(Table1[[#This Row],[Date]])</f>
        <v>8</v>
      </c>
      <c r="B644" s="35" t="s">
        <v>574</v>
      </c>
      <c r="C644" s="31">
        <v>46072</v>
      </c>
      <c r="D644" s="27" t="s">
        <v>11</v>
      </c>
      <c r="E644" s="33" t="s">
        <v>18</v>
      </c>
      <c r="F644" s="28" t="s">
        <v>948</v>
      </c>
      <c r="G644" s="28" t="s">
        <v>27</v>
      </c>
      <c r="H644" s="24">
        <v>9</v>
      </c>
      <c r="I644" s="24">
        <v>0</v>
      </c>
      <c r="J644" s="28"/>
      <c r="K644" s="28" t="s">
        <v>934</v>
      </c>
      <c r="L644" s="28" t="s">
        <v>934</v>
      </c>
      <c r="M644" s="28"/>
      <c r="N644" s="28" t="s">
        <v>934</v>
      </c>
      <c r="O644" s="22"/>
      <c r="P644" s="29" t="s">
        <v>171</v>
      </c>
    </row>
    <row r="645" spans="1:16" ht="21" x14ac:dyDescent="0.3">
      <c r="A645" s="28">
        <f>WEEKNUM(Table1[[#This Row],[Date]])</f>
        <v>8</v>
      </c>
      <c r="B645" s="35" t="s">
        <v>574</v>
      </c>
      <c r="C645" s="31">
        <v>46072</v>
      </c>
      <c r="D645" s="27" t="s">
        <v>11</v>
      </c>
      <c r="E645" s="33" t="s">
        <v>18</v>
      </c>
      <c r="F645" s="28" t="s">
        <v>949</v>
      </c>
      <c r="G645" s="28" t="s">
        <v>27</v>
      </c>
      <c r="H645" s="24">
        <v>12</v>
      </c>
      <c r="I645" s="24">
        <v>1</v>
      </c>
      <c r="J645" s="28" t="s">
        <v>157</v>
      </c>
      <c r="K645" s="28" t="s">
        <v>740</v>
      </c>
      <c r="L645" s="28" t="s">
        <v>466</v>
      </c>
      <c r="M645" s="28">
        <v>251814</v>
      </c>
      <c r="N645" s="22" t="s">
        <v>166</v>
      </c>
      <c r="O645" s="22" t="s">
        <v>823</v>
      </c>
      <c r="P645" s="22" t="s">
        <v>11</v>
      </c>
    </row>
    <row r="646" spans="1:16" ht="21" x14ac:dyDescent="0.3">
      <c r="A646" s="28">
        <f>WEEKNUM(Table1[[#This Row],[Date]])</f>
        <v>8</v>
      </c>
      <c r="B646" s="35" t="s">
        <v>574</v>
      </c>
      <c r="C646" s="31">
        <v>46072</v>
      </c>
      <c r="D646" s="27" t="s">
        <v>11</v>
      </c>
      <c r="E646" s="33" t="s">
        <v>18</v>
      </c>
      <c r="F646" s="28" t="s">
        <v>950</v>
      </c>
      <c r="G646" s="28" t="s">
        <v>27</v>
      </c>
      <c r="H646" s="24">
        <v>28</v>
      </c>
      <c r="I646" s="24">
        <v>0</v>
      </c>
      <c r="J646" s="28"/>
      <c r="K646" s="28" t="s">
        <v>934</v>
      </c>
      <c r="L646" s="28" t="s">
        <v>934</v>
      </c>
      <c r="M646" s="28"/>
      <c r="N646" s="28" t="s">
        <v>934</v>
      </c>
      <c r="O646" s="22"/>
      <c r="P646" s="29" t="s">
        <v>171</v>
      </c>
    </row>
    <row r="647" spans="1:16" ht="21" x14ac:dyDescent="0.3">
      <c r="A647" s="28">
        <f>WEEKNUM(Table1[[#This Row],[Date]])</f>
        <v>8</v>
      </c>
      <c r="B647" s="35" t="s">
        <v>574</v>
      </c>
      <c r="C647" s="31">
        <v>46072</v>
      </c>
      <c r="D647" s="27" t="s">
        <v>11</v>
      </c>
      <c r="E647" s="33" t="s">
        <v>18</v>
      </c>
      <c r="F647" s="28" t="s">
        <v>947</v>
      </c>
      <c r="G647" s="28" t="s">
        <v>27</v>
      </c>
      <c r="H647" s="24">
        <v>12</v>
      </c>
      <c r="I647" s="24">
        <v>0</v>
      </c>
      <c r="J647" s="28"/>
      <c r="K647" s="28" t="s">
        <v>934</v>
      </c>
      <c r="L647" s="28" t="s">
        <v>934</v>
      </c>
      <c r="M647" s="28"/>
      <c r="N647" s="28" t="s">
        <v>934</v>
      </c>
      <c r="O647" s="22"/>
      <c r="P647" s="29" t="s">
        <v>171</v>
      </c>
    </row>
    <row r="648" spans="1:16" ht="21" x14ac:dyDescent="0.3">
      <c r="A648" s="28">
        <f>WEEKNUM(Table1[[#This Row],[Date]])</f>
        <v>8</v>
      </c>
      <c r="B648" s="35" t="s">
        <v>574</v>
      </c>
      <c r="C648" s="31">
        <v>46072</v>
      </c>
      <c r="D648" s="27" t="s">
        <v>11</v>
      </c>
      <c r="E648" s="33" t="s">
        <v>18</v>
      </c>
      <c r="F648" s="28" t="s">
        <v>869</v>
      </c>
      <c r="G648" s="28" t="s">
        <v>27</v>
      </c>
      <c r="H648" s="24">
        <v>14</v>
      </c>
      <c r="I648" s="24">
        <v>1</v>
      </c>
      <c r="J648" s="28" t="s">
        <v>12</v>
      </c>
      <c r="K648" s="28" t="s">
        <v>349</v>
      </c>
      <c r="L648" s="28" t="s">
        <v>19</v>
      </c>
      <c r="M648" s="28">
        <v>251815</v>
      </c>
      <c r="N648" s="28" t="s">
        <v>166</v>
      </c>
      <c r="O648" s="22" t="s">
        <v>951</v>
      </c>
      <c r="P648" s="29" t="s">
        <v>11</v>
      </c>
    </row>
    <row r="649" spans="1:16" ht="21" x14ac:dyDescent="0.3">
      <c r="A649" s="28">
        <f>WEEKNUM(Table1[[#This Row],[Date]])</f>
        <v>8</v>
      </c>
      <c r="B649" s="35" t="s">
        <v>574</v>
      </c>
      <c r="C649" s="31">
        <v>46072</v>
      </c>
      <c r="D649" s="27" t="s">
        <v>11</v>
      </c>
      <c r="E649" s="33" t="s">
        <v>18</v>
      </c>
      <c r="F649" s="28" t="s">
        <v>952</v>
      </c>
      <c r="G649" s="28" t="s">
        <v>27</v>
      </c>
      <c r="H649" s="24">
        <v>5</v>
      </c>
      <c r="I649" s="24">
        <v>0</v>
      </c>
      <c r="J649" s="28"/>
      <c r="K649" s="28" t="s">
        <v>934</v>
      </c>
      <c r="L649" s="28" t="s">
        <v>934</v>
      </c>
      <c r="M649" s="28"/>
      <c r="N649" s="28" t="s">
        <v>934</v>
      </c>
      <c r="O649" s="22"/>
      <c r="P649" s="29" t="s">
        <v>171</v>
      </c>
    </row>
    <row r="650" spans="1:16" ht="21" x14ac:dyDescent="0.3">
      <c r="A650" s="28">
        <f>WEEKNUM(Table1[[#This Row],[Date]])</f>
        <v>8</v>
      </c>
      <c r="B650" s="35" t="s">
        <v>574</v>
      </c>
      <c r="C650" s="31">
        <v>46072</v>
      </c>
      <c r="D650" s="27" t="s">
        <v>332</v>
      </c>
      <c r="E650" s="33" t="s">
        <v>38</v>
      </c>
      <c r="F650" s="28" t="s">
        <v>920</v>
      </c>
      <c r="G650" s="28" t="s">
        <v>8</v>
      </c>
      <c r="H650" s="24"/>
      <c r="I650" s="24">
        <v>1</v>
      </c>
      <c r="J650" s="28"/>
      <c r="K650" s="28" t="s">
        <v>353</v>
      </c>
      <c r="L650" s="28" t="s">
        <v>39</v>
      </c>
      <c r="M650" s="28">
        <v>202302704</v>
      </c>
      <c r="N650" s="28" t="s">
        <v>166</v>
      </c>
      <c r="O650" s="22" t="s">
        <v>953</v>
      </c>
      <c r="P650" s="29" t="s">
        <v>14</v>
      </c>
    </row>
    <row r="651" spans="1:16" ht="21" x14ac:dyDescent="0.3">
      <c r="A651" s="28">
        <f>WEEKNUM(Table1[[#This Row],[Date]])</f>
        <v>8</v>
      </c>
      <c r="B651" s="35" t="s">
        <v>574</v>
      </c>
      <c r="C651" s="31">
        <v>46072</v>
      </c>
      <c r="D651" s="27" t="s">
        <v>332</v>
      </c>
      <c r="E651" s="33" t="s">
        <v>38</v>
      </c>
      <c r="F651" s="28" t="s">
        <v>954</v>
      </c>
      <c r="G651" s="28" t="s">
        <v>8</v>
      </c>
      <c r="H651" s="24"/>
      <c r="I651" s="24">
        <v>1</v>
      </c>
      <c r="J651" s="28" t="s">
        <v>12</v>
      </c>
      <c r="K651" s="28" t="s">
        <v>61</v>
      </c>
      <c r="L651" s="28" t="s">
        <v>39</v>
      </c>
      <c r="M651" s="28">
        <v>202302705</v>
      </c>
      <c r="N651" s="28" t="s">
        <v>166</v>
      </c>
      <c r="O651" s="22" t="s">
        <v>955</v>
      </c>
      <c r="P651" s="29" t="s">
        <v>16</v>
      </c>
    </row>
    <row r="652" spans="1:16" ht="21" x14ac:dyDescent="0.3">
      <c r="A652" s="28">
        <f>WEEKNUM(Table1[[#This Row],[Date]])</f>
        <v>8</v>
      </c>
      <c r="B652" s="35" t="s">
        <v>574</v>
      </c>
      <c r="C652" s="31">
        <v>46072</v>
      </c>
      <c r="D652" s="27" t="s">
        <v>332</v>
      </c>
      <c r="E652" s="33" t="s">
        <v>38</v>
      </c>
      <c r="F652" s="28" t="s">
        <v>956</v>
      </c>
      <c r="G652" s="28" t="s">
        <v>8</v>
      </c>
      <c r="H652" s="24"/>
      <c r="I652" s="24">
        <v>1</v>
      </c>
      <c r="J652" s="28"/>
      <c r="K652" s="28" t="s">
        <v>353</v>
      </c>
      <c r="L652" s="28" t="s">
        <v>547</v>
      </c>
      <c r="M652" s="28">
        <v>202302706</v>
      </c>
      <c r="N652" s="28" t="s">
        <v>166</v>
      </c>
      <c r="O652" s="22" t="s">
        <v>957</v>
      </c>
      <c r="P652" s="29" t="s">
        <v>14</v>
      </c>
    </row>
    <row r="653" spans="1:16" ht="21" x14ac:dyDescent="0.3">
      <c r="A653" s="28">
        <f>WEEKNUM(Table1[[#This Row],[Date]])</f>
        <v>8</v>
      </c>
      <c r="B653" s="35" t="s">
        <v>574</v>
      </c>
      <c r="C653" s="31">
        <v>46072</v>
      </c>
      <c r="D653" s="27" t="s">
        <v>332</v>
      </c>
      <c r="E653" s="33" t="s">
        <v>38</v>
      </c>
      <c r="F653" s="28" t="s">
        <v>958</v>
      </c>
      <c r="G653" s="28" t="s">
        <v>8</v>
      </c>
      <c r="H653" s="24">
        <v>6</v>
      </c>
      <c r="I653" s="24">
        <v>1</v>
      </c>
      <c r="J653" s="28" t="s">
        <v>15</v>
      </c>
      <c r="K653" s="28" t="s">
        <v>349</v>
      </c>
      <c r="L653" s="28" t="s">
        <v>717</v>
      </c>
      <c r="M653" s="28">
        <v>202302707</v>
      </c>
      <c r="N653" s="28" t="s">
        <v>164</v>
      </c>
      <c r="O653" s="22" t="s">
        <v>266</v>
      </c>
      <c r="P653" s="29" t="s">
        <v>11</v>
      </c>
    </row>
    <row r="654" spans="1:16" ht="36" x14ac:dyDescent="0.3">
      <c r="A654" s="28">
        <f>WEEKNUM(Table1[[#This Row],[Date]])</f>
        <v>8</v>
      </c>
      <c r="B654" s="35" t="s">
        <v>574</v>
      </c>
      <c r="C654" s="31">
        <v>46072</v>
      </c>
      <c r="D654" s="27" t="s">
        <v>332</v>
      </c>
      <c r="E654" s="33" t="s">
        <v>38</v>
      </c>
      <c r="F654" s="28" t="s">
        <v>829</v>
      </c>
      <c r="G654" s="28" t="s">
        <v>27</v>
      </c>
      <c r="H654" s="24">
        <v>41</v>
      </c>
      <c r="I654" s="24">
        <v>2</v>
      </c>
      <c r="J654" s="28" t="s">
        <v>253</v>
      </c>
      <c r="K654" s="28" t="s">
        <v>479</v>
      </c>
      <c r="L654" s="28" t="s">
        <v>55</v>
      </c>
      <c r="M654" s="28">
        <v>202302708</v>
      </c>
      <c r="N654" s="28" t="s">
        <v>165</v>
      </c>
      <c r="O654" s="22" t="s">
        <v>253</v>
      </c>
      <c r="P654" s="29" t="s">
        <v>46</v>
      </c>
    </row>
    <row r="655" spans="1:16" ht="21" x14ac:dyDescent="0.3">
      <c r="A655" s="28">
        <f>WEEKNUM(Table1[[#This Row],[Date]])</f>
        <v>8</v>
      </c>
      <c r="B655" s="35" t="s">
        <v>574</v>
      </c>
      <c r="C655" s="31">
        <v>46073</v>
      </c>
      <c r="D655" s="27" t="s">
        <v>11</v>
      </c>
      <c r="E655" s="33" t="s">
        <v>25</v>
      </c>
      <c r="F655" s="28" t="s">
        <v>960</v>
      </c>
      <c r="G655" s="28" t="s">
        <v>27</v>
      </c>
      <c r="H655" s="24">
        <v>4</v>
      </c>
      <c r="I655" s="24">
        <v>0</v>
      </c>
      <c r="J655" s="28"/>
      <c r="K655" s="28" t="s">
        <v>934</v>
      </c>
      <c r="L655" s="28" t="s">
        <v>934</v>
      </c>
      <c r="M655" s="28"/>
      <c r="N655" s="28" t="s">
        <v>934</v>
      </c>
      <c r="O655" s="22"/>
      <c r="P655" s="29" t="s">
        <v>171</v>
      </c>
    </row>
    <row r="656" spans="1:16" ht="21" x14ac:dyDescent="0.3">
      <c r="A656" s="28">
        <f>WEEKNUM(Table1[[#This Row],[Date]])</f>
        <v>8</v>
      </c>
      <c r="B656" s="35" t="s">
        <v>574</v>
      </c>
      <c r="C656" s="31">
        <v>46073</v>
      </c>
      <c r="D656" s="27" t="s">
        <v>11</v>
      </c>
      <c r="E656" s="33" t="s">
        <v>25</v>
      </c>
      <c r="F656" s="28" t="s">
        <v>961</v>
      </c>
      <c r="G656" s="28" t="s">
        <v>27</v>
      </c>
      <c r="H656" s="24">
        <v>3</v>
      </c>
      <c r="I656" s="24">
        <v>0</v>
      </c>
      <c r="J656" s="28"/>
      <c r="K656" s="28" t="s">
        <v>934</v>
      </c>
      <c r="L656" s="28" t="s">
        <v>934</v>
      </c>
      <c r="M656" s="28"/>
      <c r="N656" s="28" t="s">
        <v>934</v>
      </c>
      <c r="O656" s="22"/>
      <c r="P656" s="29" t="s">
        <v>171</v>
      </c>
    </row>
    <row r="657" spans="1:16" ht="21" x14ac:dyDescent="0.3">
      <c r="A657" s="28">
        <f>WEEKNUM(Table1[[#This Row],[Date]])</f>
        <v>8</v>
      </c>
      <c r="B657" s="35" t="s">
        <v>574</v>
      </c>
      <c r="C657" s="31">
        <v>46073</v>
      </c>
      <c r="D657" s="27" t="s">
        <v>11</v>
      </c>
      <c r="E657" s="33" t="s">
        <v>25</v>
      </c>
      <c r="F657" s="28" t="s">
        <v>962</v>
      </c>
      <c r="G657" s="28" t="s">
        <v>27</v>
      </c>
      <c r="H657" s="24">
        <v>5</v>
      </c>
      <c r="I657" s="24">
        <v>0</v>
      </c>
      <c r="J657" s="28"/>
      <c r="K657" s="28" t="s">
        <v>934</v>
      </c>
      <c r="L657" s="28" t="s">
        <v>934</v>
      </c>
      <c r="M657" s="28"/>
      <c r="N657" s="28" t="s">
        <v>934</v>
      </c>
      <c r="O657" s="22"/>
      <c r="P657" s="29" t="s">
        <v>171</v>
      </c>
    </row>
    <row r="658" spans="1:16" ht="21" x14ac:dyDescent="0.3">
      <c r="A658" s="28">
        <f>WEEKNUM(Table1[[#This Row],[Date]])</f>
        <v>8</v>
      </c>
      <c r="B658" s="35" t="s">
        <v>574</v>
      </c>
      <c r="C658" s="31">
        <v>46073</v>
      </c>
      <c r="D658" s="27" t="s">
        <v>11</v>
      </c>
      <c r="E658" s="33" t="s">
        <v>25</v>
      </c>
      <c r="F658" s="28" t="s">
        <v>468</v>
      </c>
      <c r="G658" s="28" t="s">
        <v>27</v>
      </c>
      <c r="H658" s="24">
        <v>15</v>
      </c>
      <c r="I658" s="24">
        <v>3</v>
      </c>
      <c r="J658" s="28" t="s">
        <v>87</v>
      </c>
      <c r="K658" s="28" t="s">
        <v>349</v>
      </c>
      <c r="L658" s="28" t="s">
        <v>13</v>
      </c>
      <c r="M658" s="28">
        <v>251816</v>
      </c>
      <c r="N658" s="28" t="s">
        <v>166</v>
      </c>
      <c r="O658" s="22" t="s">
        <v>963</v>
      </c>
      <c r="P658" s="29" t="s">
        <v>11</v>
      </c>
    </row>
    <row r="659" spans="1:16" ht="21" x14ac:dyDescent="0.3">
      <c r="A659" s="28">
        <f>WEEKNUM(Table1[[#This Row],[Date]])</f>
        <v>8</v>
      </c>
      <c r="B659" s="35" t="s">
        <v>574</v>
      </c>
      <c r="C659" s="31">
        <v>46073</v>
      </c>
      <c r="D659" s="27" t="s">
        <v>11</v>
      </c>
      <c r="E659" s="33" t="s">
        <v>25</v>
      </c>
      <c r="F659" s="28" t="s">
        <v>964</v>
      </c>
      <c r="G659" s="28" t="s">
        <v>8</v>
      </c>
      <c r="H659" s="24">
        <v>7</v>
      </c>
      <c r="I659" s="24">
        <v>1</v>
      </c>
      <c r="J659" s="28" t="s">
        <v>12</v>
      </c>
      <c r="K659" s="28" t="s">
        <v>349</v>
      </c>
      <c r="L659" s="28" t="s">
        <v>45</v>
      </c>
      <c r="M659" s="28">
        <v>251817</v>
      </c>
      <c r="N659" s="28" t="s">
        <v>166</v>
      </c>
      <c r="O659" s="22"/>
      <c r="P659" s="29" t="s">
        <v>11</v>
      </c>
    </row>
    <row r="660" spans="1:16" ht="21" x14ac:dyDescent="0.3">
      <c r="A660" s="28">
        <f>WEEKNUM(Table1[[#This Row],[Date]])</f>
        <v>8</v>
      </c>
      <c r="B660" s="35" t="s">
        <v>574</v>
      </c>
      <c r="C660" s="31">
        <v>46073</v>
      </c>
      <c r="D660" s="27" t="s">
        <v>11</v>
      </c>
      <c r="E660" s="33" t="s">
        <v>25</v>
      </c>
      <c r="F660" s="28" t="s">
        <v>964</v>
      </c>
      <c r="G660" s="28" t="s">
        <v>8</v>
      </c>
      <c r="H660" s="24"/>
      <c r="I660" s="24">
        <v>1</v>
      </c>
      <c r="J660" s="28" t="s">
        <v>965</v>
      </c>
      <c r="K660" s="28" t="s">
        <v>349</v>
      </c>
      <c r="L660" s="28" t="s">
        <v>35</v>
      </c>
      <c r="M660" s="28">
        <v>251818</v>
      </c>
      <c r="N660" s="28" t="s">
        <v>166</v>
      </c>
      <c r="O660" s="22"/>
      <c r="P660" s="29" t="s">
        <v>11</v>
      </c>
    </row>
    <row r="661" spans="1:16" ht="21" x14ac:dyDescent="0.3">
      <c r="A661" s="28">
        <f>WEEKNUM(Table1[[#This Row],[Date]])</f>
        <v>8</v>
      </c>
      <c r="B661" s="35" t="s">
        <v>574</v>
      </c>
      <c r="C661" s="31">
        <v>46073</v>
      </c>
      <c r="D661" s="27" t="s">
        <v>11</v>
      </c>
      <c r="E661" s="33" t="s">
        <v>886</v>
      </c>
      <c r="F661" s="28" t="s">
        <v>966</v>
      </c>
      <c r="G661" s="28" t="s">
        <v>8</v>
      </c>
      <c r="H661" s="24">
        <v>4</v>
      </c>
      <c r="I661" s="24">
        <v>0</v>
      </c>
      <c r="J661" s="28"/>
      <c r="K661" s="28" t="s">
        <v>934</v>
      </c>
      <c r="L661" s="28" t="s">
        <v>934</v>
      </c>
      <c r="M661" s="28"/>
      <c r="N661" s="28" t="s">
        <v>934</v>
      </c>
      <c r="O661" s="22"/>
      <c r="P661" s="29" t="s">
        <v>171</v>
      </c>
    </row>
    <row r="662" spans="1:16" ht="21" x14ac:dyDescent="0.3">
      <c r="A662" s="28">
        <f>WEEKNUM(Table1[[#This Row],[Date]])</f>
        <v>8</v>
      </c>
      <c r="B662" s="35" t="s">
        <v>574</v>
      </c>
      <c r="C662" s="31">
        <v>46073</v>
      </c>
      <c r="D662" s="27" t="s">
        <v>11</v>
      </c>
      <c r="E662" s="33" t="s">
        <v>25</v>
      </c>
      <c r="F662" s="28" t="s">
        <v>967</v>
      </c>
      <c r="G662" s="28" t="s">
        <v>8</v>
      </c>
      <c r="H662" s="24">
        <v>4</v>
      </c>
      <c r="I662" s="24">
        <v>1</v>
      </c>
      <c r="J662" s="28" t="s">
        <v>12</v>
      </c>
      <c r="K662" s="28" t="s">
        <v>349</v>
      </c>
      <c r="L662" s="28" t="s">
        <v>13</v>
      </c>
      <c r="M662" s="28">
        <v>251819</v>
      </c>
      <c r="N662" s="28" t="s">
        <v>166</v>
      </c>
      <c r="O662" s="22" t="s">
        <v>938</v>
      </c>
      <c r="P662" s="29" t="s">
        <v>11</v>
      </c>
    </row>
    <row r="663" spans="1:16" ht="21" x14ac:dyDescent="0.3">
      <c r="A663" s="28">
        <f>WEEKNUM(Table1[[#This Row],[Date]])</f>
        <v>8</v>
      </c>
      <c r="B663" s="35" t="s">
        <v>574</v>
      </c>
      <c r="C663" s="31">
        <v>46073</v>
      </c>
      <c r="D663" s="27" t="s">
        <v>11</v>
      </c>
      <c r="E663" s="33" t="s">
        <v>25</v>
      </c>
      <c r="F663" s="28" t="s">
        <v>967</v>
      </c>
      <c r="G663" s="28" t="s">
        <v>8</v>
      </c>
      <c r="H663" s="24"/>
      <c r="I663" s="24">
        <v>1</v>
      </c>
      <c r="J663" s="28" t="s">
        <v>12</v>
      </c>
      <c r="K663" s="28" t="s">
        <v>61</v>
      </c>
      <c r="L663" s="28" t="s">
        <v>466</v>
      </c>
      <c r="M663" s="28">
        <v>251820</v>
      </c>
      <c r="N663" s="28" t="s">
        <v>166</v>
      </c>
      <c r="O663" s="22" t="s">
        <v>968</v>
      </c>
      <c r="P663" s="29" t="s">
        <v>16</v>
      </c>
    </row>
    <row r="664" spans="1:16" ht="21" x14ac:dyDescent="0.3">
      <c r="A664" s="28">
        <f>WEEKNUM(Table1[[#This Row],[Date]])</f>
        <v>8</v>
      </c>
      <c r="B664" s="35" t="s">
        <v>574</v>
      </c>
      <c r="C664" s="31">
        <v>46073</v>
      </c>
      <c r="D664" s="27" t="s">
        <v>11</v>
      </c>
      <c r="E664" s="33" t="s">
        <v>25</v>
      </c>
      <c r="F664" s="28" t="s">
        <v>969</v>
      </c>
      <c r="G664" s="28" t="s">
        <v>27</v>
      </c>
      <c r="H664" s="24">
        <v>32</v>
      </c>
      <c r="I664" s="24"/>
      <c r="J664" s="28"/>
      <c r="K664" s="28" t="s">
        <v>934</v>
      </c>
      <c r="L664" s="28" t="s">
        <v>934</v>
      </c>
      <c r="M664" s="28"/>
      <c r="N664" s="28" t="s">
        <v>934</v>
      </c>
      <c r="O664" s="22"/>
      <c r="P664" s="29" t="s">
        <v>171</v>
      </c>
    </row>
    <row r="665" spans="1:16" ht="21" x14ac:dyDescent="0.3">
      <c r="A665" s="28">
        <f>WEEKNUM(Table1[[#This Row],[Date]])</f>
        <v>8</v>
      </c>
      <c r="B665" s="35" t="s">
        <v>574</v>
      </c>
      <c r="C665" s="31">
        <v>46073</v>
      </c>
      <c r="D665" s="27" t="s">
        <v>11</v>
      </c>
      <c r="E665" s="33" t="s">
        <v>25</v>
      </c>
      <c r="F665" s="28" t="s">
        <v>970</v>
      </c>
      <c r="G665" s="28" t="s">
        <v>27</v>
      </c>
      <c r="H665" s="24">
        <v>19</v>
      </c>
      <c r="I665" s="24">
        <v>0</v>
      </c>
      <c r="J665" s="28"/>
      <c r="K665" s="28" t="s">
        <v>934</v>
      </c>
      <c r="L665" s="28" t="s">
        <v>934</v>
      </c>
      <c r="M665" s="28"/>
      <c r="N665" s="28" t="s">
        <v>934</v>
      </c>
      <c r="O665" s="22"/>
      <c r="P665" s="29" t="s">
        <v>171</v>
      </c>
    </row>
    <row r="666" spans="1:16" ht="21" x14ac:dyDescent="0.3">
      <c r="A666" s="28">
        <f>WEEKNUM(Table1[[#This Row],[Date]])</f>
        <v>8</v>
      </c>
      <c r="B666" s="35" t="s">
        <v>574</v>
      </c>
      <c r="C666" s="31">
        <v>46073</v>
      </c>
      <c r="D666" s="27" t="s">
        <v>11</v>
      </c>
      <c r="E666" s="33" t="s">
        <v>25</v>
      </c>
      <c r="F666" s="28" t="s">
        <v>971</v>
      </c>
      <c r="G666" s="28" t="s">
        <v>8</v>
      </c>
      <c r="H666" s="24">
        <v>3</v>
      </c>
      <c r="I666" s="24">
        <v>0</v>
      </c>
      <c r="J666" s="28"/>
      <c r="K666" s="28" t="s">
        <v>934</v>
      </c>
      <c r="L666" s="28" t="s">
        <v>934</v>
      </c>
      <c r="M666" s="28"/>
      <c r="N666" s="28" t="s">
        <v>934</v>
      </c>
      <c r="O666" s="22"/>
      <c r="P666" s="29" t="s">
        <v>171</v>
      </c>
    </row>
    <row r="667" spans="1:16" ht="21" x14ac:dyDescent="0.3">
      <c r="A667" s="28">
        <f>WEEKNUM(Table1[[#This Row],[Date]])</f>
        <v>8</v>
      </c>
      <c r="B667" s="35" t="s">
        <v>574</v>
      </c>
      <c r="C667" s="31">
        <v>46073</v>
      </c>
      <c r="D667" s="27" t="s">
        <v>11</v>
      </c>
      <c r="E667" s="33" t="s">
        <v>18</v>
      </c>
      <c r="F667" s="28" t="s">
        <v>972</v>
      </c>
      <c r="G667" s="28" t="s">
        <v>8</v>
      </c>
      <c r="H667" s="24">
        <v>9</v>
      </c>
      <c r="I667" s="24">
        <v>1</v>
      </c>
      <c r="J667" s="28" t="s">
        <v>273</v>
      </c>
      <c r="K667" s="28" t="s">
        <v>349</v>
      </c>
      <c r="L667" s="28" t="s">
        <v>118</v>
      </c>
      <c r="M667" s="28">
        <v>251821</v>
      </c>
      <c r="N667" s="28" t="s">
        <v>164</v>
      </c>
      <c r="O667" s="22" t="s">
        <v>703</v>
      </c>
      <c r="P667" s="29" t="s">
        <v>11</v>
      </c>
    </row>
    <row r="668" spans="1:16" ht="21" x14ac:dyDescent="0.3">
      <c r="A668" s="28">
        <f>WEEKNUM(Table1[[#This Row],[Date]])</f>
        <v>8</v>
      </c>
      <c r="B668" s="35" t="s">
        <v>574</v>
      </c>
      <c r="C668" s="31">
        <v>46073</v>
      </c>
      <c r="D668" s="27" t="s">
        <v>11</v>
      </c>
      <c r="E668" s="33" t="s">
        <v>18</v>
      </c>
      <c r="F668" s="28" t="s">
        <v>973</v>
      </c>
      <c r="G668" s="28" t="s">
        <v>8</v>
      </c>
      <c r="H668" s="24">
        <v>9</v>
      </c>
      <c r="I668" s="24">
        <v>0</v>
      </c>
      <c r="J668" s="28"/>
      <c r="K668" s="28" t="s">
        <v>934</v>
      </c>
      <c r="L668" s="28" t="s">
        <v>934</v>
      </c>
      <c r="M668" s="28"/>
      <c r="N668" s="28" t="s">
        <v>934</v>
      </c>
      <c r="O668" s="22"/>
      <c r="P668" s="29" t="s">
        <v>171</v>
      </c>
    </row>
    <row r="669" spans="1:16" ht="21" x14ac:dyDescent="0.3">
      <c r="A669" s="28">
        <f>WEEKNUM(Table1[[#This Row],[Date]])</f>
        <v>8</v>
      </c>
      <c r="B669" s="35" t="s">
        <v>574</v>
      </c>
      <c r="C669" s="31">
        <v>46073</v>
      </c>
      <c r="D669" s="27" t="s">
        <v>11</v>
      </c>
      <c r="E669" s="33" t="s">
        <v>18</v>
      </c>
      <c r="F669" s="28" t="s">
        <v>974</v>
      </c>
      <c r="G669" s="28" t="s">
        <v>27</v>
      </c>
      <c r="H669" s="24">
        <v>16</v>
      </c>
      <c r="I669" s="24">
        <v>0</v>
      </c>
      <c r="J669" s="28"/>
      <c r="K669" s="28" t="s">
        <v>934</v>
      </c>
      <c r="L669" s="28" t="s">
        <v>934</v>
      </c>
      <c r="M669" s="28"/>
      <c r="N669" s="28" t="s">
        <v>934</v>
      </c>
      <c r="O669" s="22"/>
      <c r="P669" s="29" t="s">
        <v>171</v>
      </c>
    </row>
    <row r="670" spans="1:16" ht="21" x14ac:dyDescent="0.3">
      <c r="A670" s="28">
        <f>WEEKNUM(Table1[[#This Row],[Date]])</f>
        <v>8</v>
      </c>
      <c r="B670" s="35" t="s">
        <v>574</v>
      </c>
      <c r="C670" s="31">
        <v>46073</v>
      </c>
      <c r="D670" s="27" t="s">
        <v>11</v>
      </c>
      <c r="E670" s="33" t="s">
        <v>18</v>
      </c>
      <c r="F670" s="28" t="s">
        <v>320</v>
      </c>
      <c r="G670" s="28" t="s">
        <v>27</v>
      </c>
      <c r="H670" s="24">
        <v>30</v>
      </c>
      <c r="I670" s="24">
        <v>1</v>
      </c>
      <c r="J670" s="28" t="s">
        <v>87</v>
      </c>
      <c r="K670" s="28" t="s">
        <v>349</v>
      </c>
      <c r="L670" s="28" t="s">
        <v>159</v>
      </c>
      <c r="M670" s="28">
        <v>251822</v>
      </c>
      <c r="N670" s="28" t="s">
        <v>164</v>
      </c>
      <c r="O670" s="22" t="s">
        <v>330</v>
      </c>
      <c r="P670" s="29" t="s">
        <v>11</v>
      </c>
    </row>
    <row r="671" spans="1:16" ht="21" x14ac:dyDescent="0.3">
      <c r="A671" s="28">
        <f>WEEKNUM(Table1[[#This Row],[Date]])</f>
        <v>8</v>
      </c>
      <c r="B671" s="35" t="s">
        <v>574</v>
      </c>
      <c r="C671" s="31">
        <v>46073</v>
      </c>
      <c r="D671" s="27" t="s">
        <v>11</v>
      </c>
      <c r="E671" s="33" t="s">
        <v>18</v>
      </c>
      <c r="F671" s="28" t="s">
        <v>967</v>
      </c>
      <c r="G671" s="28" t="s">
        <v>27</v>
      </c>
      <c r="H671" s="24">
        <v>5</v>
      </c>
      <c r="I671" s="24">
        <v>0</v>
      </c>
      <c r="J671" s="28"/>
      <c r="K671" s="28" t="s">
        <v>934</v>
      </c>
      <c r="L671" s="28" t="s">
        <v>934</v>
      </c>
      <c r="M671" s="28"/>
      <c r="N671" s="28" t="s">
        <v>934</v>
      </c>
      <c r="O671" s="22"/>
      <c r="P671" s="29" t="s">
        <v>171</v>
      </c>
    </row>
    <row r="672" spans="1:16" ht="21" x14ac:dyDescent="0.3">
      <c r="A672" s="28">
        <f>WEEKNUM(Table1[[#This Row],[Date]])</f>
        <v>8</v>
      </c>
      <c r="B672" s="35" t="s">
        <v>574</v>
      </c>
      <c r="C672" s="31">
        <v>46073</v>
      </c>
      <c r="D672" s="27" t="s">
        <v>11</v>
      </c>
      <c r="E672" s="33" t="s">
        <v>18</v>
      </c>
      <c r="F672" s="28" t="s">
        <v>975</v>
      </c>
      <c r="G672" s="28" t="s">
        <v>27</v>
      </c>
      <c r="H672" s="24">
        <v>8</v>
      </c>
      <c r="I672" s="24">
        <v>0</v>
      </c>
      <c r="J672" s="28"/>
      <c r="K672" s="28" t="s">
        <v>934</v>
      </c>
      <c r="L672" s="28" t="s">
        <v>934</v>
      </c>
      <c r="M672" s="28"/>
      <c r="N672" s="28" t="s">
        <v>934</v>
      </c>
      <c r="O672" s="22"/>
      <c r="P672" s="29" t="s">
        <v>171</v>
      </c>
    </row>
    <row r="673" spans="1:16" ht="21" x14ac:dyDescent="0.3">
      <c r="A673" s="28">
        <f>WEEKNUM(Table1[[#This Row],[Date]])</f>
        <v>8</v>
      </c>
      <c r="B673" s="35" t="s">
        <v>574</v>
      </c>
      <c r="C673" s="31">
        <v>46073</v>
      </c>
      <c r="D673" s="27" t="s">
        <v>332</v>
      </c>
      <c r="E673" s="33" t="s">
        <v>38</v>
      </c>
      <c r="F673" s="28" t="s">
        <v>944</v>
      </c>
      <c r="G673" s="28" t="s">
        <v>8</v>
      </c>
      <c r="H673" s="24">
        <v>5</v>
      </c>
      <c r="I673" s="24">
        <v>1</v>
      </c>
      <c r="J673" s="28"/>
      <c r="K673" s="28" t="s">
        <v>353</v>
      </c>
      <c r="L673" s="28" t="s">
        <v>55</v>
      </c>
      <c r="M673" s="28">
        <v>202302709</v>
      </c>
      <c r="N673" s="28" t="s">
        <v>164</v>
      </c>
      <c r="O673" s="22" t="s">
        <v>976</v>
      </c>
      <c r="P673" s="29" t="s">
        <v>14</v>
      </c>
    </row>
    <row r="674" spans="1:16" ht="21" x14ac:dyDescent="0.3">
      <c r="A674" s="28">
        <f>WEEKNUM(Table1[[#This Row],[Date]])</f>
        <v>8</v>
      </c>
      <c r="B674" s="35" t="s">
        <v>574</v>
      </c>
      <c r="C674" s="31">
        <v>46073</v>
      </c>
      <c r="D674" s="27" t="s">
        <v>332</v>
      </c>
      <c r="E674" s="33" t="s">
        <v>38</v>
      </c>
      <c r="F674" s="28" t="s">
        <v>977</v>
      </c>
      <c r="G674" s="28" t="s">
        <v>27</v>
      </c>
      <c r="H674" s="24">
        <f>43-H673</f>
        <v>38</v>
      </c>
      <c r="I674" s="24">
        <v>1</v>
      </c>
      <c r="J674" s="28"/>
      <c r="K674" s="28" t="s">
        <v>349</v>
      </c>
      <c r="L674" s="28" t="s">
        <v>717</v>
      </c>
      <c r="M674" s="28">
        <v>202302711</v>
      </c>
      <c r="N674" s="28" t="s">
        <v>164</v>
      </c>
      <c r="O674" s="22" t="s">
        <v>255</v>
      </c>
      <c r="P674" s="29" t="s">
        <v>11</v>
      </c>
    </row>
    <row r="675" spans="1:16" ht="21" x14ac:dyDescent="0.3">
      <c r="A675" s="28"/>
      <c r="B675" s="35"/>
      <c r="C675" s="31"/>
      <c r="D675" s="27"/>
      <c r="E675" s="33"/>
      <c r="F675" s="28"/>
      <c r="G675" s="28"/>
      <c r="H675" s="24"/>
      <c r="I675" s="24"/>
      <c r="J675" s="28"/>
      <c r="K675" s="28"/>
      <c r="L675" s="28"/>
      <c r="M675" s="28"/>
      <c r="N675" s="28"/>
      <c r="O675" s="22"/>
      <c r="P675" s="29"/>
    </row>
    <row r="676" spans="1:16" ht="21" x14ac:dyDescent="0.3">
      <c r="A676" s="28"/>
      <c r="B676" s="35"/>
      <c r="C676" s="31"/>
      <c r="D676" s="27"/>
      <c r="E676" s="33"/>
      <c r="F676" s="28"/>
      <c r="G676" s="28"/>
      <c r="H676" s="24"/>
      <c r="I676" s="24"/>
      <c r="J676" s="28"/>
      <c r="K676" s="28"/>
      <c r="L676" s="28"/>
      <c r="M676" s="28"/>
      <c r="N676" s="28"/>
      <c r="O676" s="22"/>
      <c r="P676" s="29"/>
    </row>
    <row r="677" spans="1:16" ht="21" x14ac:dyDescent="0.3">
      <c r="A677" s="28"/>
      <c r="B677" s="35"/>
      <c r="C677" s="31"/>
      <c r="D677" s="27"/>
      <c r="E677" s="33"/>
      <c r="F677" s="28"/>
      <c r="G677" s="28"/>
      <c r="H677" s="24"/>
      <c r="I677" s="24"/>
      <c r="J677" s="28"/>
      <c r="K677" s="28"/>
      <c r="L677" s="28"/>
      <c r="M677" s="28"/>
      <c r="N677" s="28"/>
      <c r="O677" s="22"/>
      <c r="P677" s="29"/>
    </row>
  </sheetData>
  <phoneticPr fontId="6" type="noConversion"/>
  <conditionalFormatting sqref="L1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xWindow="391" yWindow="410" count="7">
    <dataValidation allowBlank="1" showInputMessage="1" showErrorMessage="1" prompt="N° / DE PIECES " sqref="H303:H307 H183:H198 H282:H283 H2:H83 H167:H181 H148:H163 H103:H114 H127:H133 H135:H146 I210 I212:I213 I215:I217 I219 I222" xr:uid="{EDE519F4-3380-48A4-A239-167990487278}"/>
    <dataValidation type="whole" showDropDown="1" showInputMessage="1" showErrorMessage="1" prompt="N° QRQC CNC" sqref="M600:M602 M55 M2:M53 M58:M68 M70:M83 M103:M163 M167:M198 M210 M212:M213 M215:M217 M219 M222 M225:M231 M233:M234 M236:M237 M247:M248 M251:M252 M257:M260 M262:M265 M268:M269 M272 M276 M281 M291:M293 M295 M302 M308:M313 M315 M327:M329 M331:M337 M340:M342 M344:M346 M352:M353 M355 M357:M359 M361:M372 M374:M377 M379 M381 M383 M385:M388 M390:M392 M394 M397:M399 M401:M402 M406:M412 M414 M416:M417 M422:M425 M428:M430 M434 M438 M440:M442 M444:M445 M448 M450:M458 M461 M463 M465:M467 M471:M472 M474:M479 M481 M483:M484 M488 M490:M498 M501:M503 M508 M513 M515:M519 M521:M522 M524 M531:M533 M535:M538 M540 M543 M548 M550:M551 M553:M554 M556 M561 M563:M564 M568:M569 M571:M574 M576 M582 M589:M591 M594 M597 M606 M612:M615 M617:M624 M630:M631 M634:M641 M643:M644 M646:M647 M649 M655:M657 M661 M664:M666 M668:M669 M671:M672" xr:uid="{14CD0344-4EB7-4754-92FB-BDC774B8F180}">
      <formula1>100000</formula1>
      <formula2>999999</formula2>
    </dataValidation>
    <dataValidation allowBlank="1" showInputMessage="1" showErrorMessage="1" prompt="N° / DE FAUTE " sqref="I296:I301 I183:I209 J210:J212 H182:I182 H134:I134 H147:I147 I277:I280 I2:I133 I135:I146 I148:I181 I211 I214 I218 I220:I221 I223:I224 I232 I234:I235 I238:I246 I249:I250 I253:I256 I261 I266:I267 I270:I271 I273:I275 I282:I290 I294 I303:I307 I314 I316:I326 I330 I338:I339 I343 I347:I351 I354 I356 I360" xr:uid="{F837FC00-F86B-4308-98E5-D4D370B03BF2}"/>
    <dataValidation allowBlank="1" showInputMessage="1" showErrorMessage="1" prompt="OU TROUVE / PB" sqref="K169 K82 J2:J83 K23 K182:K183 K25 K66:K67 J103:J163 J167:J198 K74 L209 L220 J282:J283 K156 J303:J307 J207:J209 L303:L307 L223 J213:J224 M211 L214 K61" xr:uid="{F55A4100-3701-4221-9DA7-83CA853D8EB3}"/>
    <dataValidation allowBlank="1" showInputMessage="1" showErrorMessage="1" prompt="FAUTE / DETAILLE" sqref="O103:O114 N77:O77 L41 N74:N75 N72 O160:O163 N108 O78:O81 N115:N119 N121:N124 P180:P184 O83 O127:P127 N135 N138 N151 P296:P301 O128:O157 N154 N158:O159 P165 N164:N166 P149:P152 L107 O126 L46:L48 O600:O602 P115:P125 P101 P96 P91 P89 P85:P86 P105 O207:O208 N211 P199:P205 P207:P209 P197 M220:N221 M214:N214 M218:N218 M223:N224 P220:P221 N232 P223:P224 N235 N238 P94 P338:P339 P277:P280 P218 O272 M282:N283 O303:P307 O291:O293 P129 P131:P138 P140 P146:P147 P169 P171:P172 P175 P177 P191 P194:P195 P214 P243:P246 P249:P250 P253:P256 P261 P266:P267 P270:P271 P273:P275 P284:P290 P294 P314 P343 P316:P326 P330 O2:O22 O24:O76 O167:O198 O210:O242 O247:O248 O251:O252 O257:O260 O262:O265 O268:O269 O276 O281:O283 O295 O302 O308:O313 O315 O327:O329 O331:O337 O340:O342 O344:O346 O352:O353 O355 O357:O359 O361:O372 O374:O377 O379 O381 O383 O385:O388 O390:O392 O394 O397:O399 O401:O402 O406:O412 O414 O416:O417 O422:O425 O428:O430 O434 O438 O440:O442 O444:O445 O448 O450:O458 O461 O463 O465:O467 O471:O472 O474:O479 O481 O483:O484 O488 O490:O498 O501:O503 O508 O513 O515:O519 O521:O522 O524 O531:O533 O535:O538 O540 O543 O548 O550:O551 O553:O554 O556 O561 O563:O564 O568:O569 O571:O574 O576 O582 O589:O591 O594 O597 O606 O612:O615 O617:O624 O630:O631 O634:O641 O643:O644 O646:O647 O649 O655:O657 O661 O664:O666 O668:O669 O671:O672" xr:uid="{74561A38-1013-4B4F-87F6-E85338BC4464}"/>
    <dataValidation allowBlank="1" showInputMessage="1" showErrorMessage="1" prompt="POSITION / ERP" sqref="F2:F83 F103:F114 F117:F163 F167:F198 F207:F209 G210:G212 F213:F224 F234:F238 F259:F273 F282:F283 F289:F295 F303:F316 F327:F337 F352:F359 F375:F383 F398:F402 F422:F430 F442:F449 F461:F467 F472:F481 F491:F500 F513:F522 F532:F538 F548:F554 F571:F577 F595:F602 F619:F626 F643:F649 F667:F672" xr:uid="{697803B1-BF72-486E-AA3D-C0AD333E381D}"/>
    <dataValidation allowBlank="1" showInputMessage="1" showErrorMessage="1" prompt="DATE " sqref="C2:D83 D103:D114 D126:D163 C103:C163 C167:D198 E210:E212 C207:D224 D225:D238 C282:D283 C303:D307 C327:C346 C352:C364 C385:C402 C412:C430 C434:C467 C472:C488" xr:uid="{1E1300A6-D768-45B0-B7EA-49A57B9190B6}"/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170E-8D83-46AD-A22D-8581EA3FC465}">
  <dimension ref="A1:AR70"/>
  <sheetViews>
    <sheetView topLeftCell="A2" zoomScaleNormal="100" workbookViewId="0">
      <selection activeCell="AD4" sqref="AD4"/>
    </sheetView>
  </sheetViews>
  <sheetFormatPr defaultColWidth="11.5546875" defaultRowHeight="14.4" x14ac:dyDescent="0.3"/>
  <cols>
    <col min="2" max="2" width="19.109375" style="211" bestFit="1" customWidth="1"/>
    <col min="11" max="11" width="19.5546875" style="182" bestFit="1" customWidth="1"/>
    <col min="22" max="22" width="13.109375" style="182" bestFit="1" customWidth="1"/>
    <col min="30" max="30" width="14.109375" customWidth="1"/>
    <col min="31" max="31" width="12.44140625" style="75" customWidth="1"/>
    <col min="32" max="42" width="11.44140625" style="75"/>
  </cols>
  <sheetData>
    <row r="1" spans="1:44" ht="58.2" thickBot="1" x14ac:dyDescent="0.35">
      <c r="A1" s="77" t="s">
        <v>373</v>
      </c>
      <c r="B1" s="184" t="s">
        <v>572</v>
      </c>
      <c r="C1" s="58">
        <v>2018</v>
      </c>
      <c r="D1" s="58">
        <v>2019</v>
      </c>
      <c r="E1" s="58">
        <v>2020</v>
      </c>
      <c r="F1" s="58">
        <v>2021</v>
      </c>
      <c r="G1" s="58">
        <v>2022</v>
      </c>
      <c r="H1" s="58">
        <v>2023</v>
      </c>
      <c r="I1" s="58">
        <v>2024</v>
      </c>
      <c r="J1" s="58">
        <v>2025</v>
      </c>
      <c r="K1" s="156" t="s">
        <v>578</v>
      </c>
      <c r="L1" s="58">
        <v>2026</v>
      </c>
      <c r="R1" s="245" t="s">
        <v>373</v>
      </c>
      <c r="S1" s="244" t="s">
        <v>572</v>
      </c>
      <c r="T1" s="58">
        <v>2018</v>
      </c>
      <c r="U1" s="58">
        <v>2019</v>
      </c>
      <c r="V1" s="288">
        <v>2020</v>
      </c>
      <c r="W1" s="58">
        <v>2021</v>
      </c>
      <c r="X1" s="58">
        <v>2022</v>
      </c>
      <c r="Y1" s="58">
        <v>2023</v>
      </c>
      <c r="Z1" s="58">
        <v>2024</v>
      </c>
      <c r="AA1" s="58">
        <v>2025</v>
      </c>
      <c r="AB1" s="156" t="s">
        <v>578</v>
      </c>
      <c r="AC1" s="58">
        <v>2026</v>
      </c>
      <c r="AD1" s="289" t="s">
        <v>721</v>
      </c>
      <c r="AF1" s="214"/>
      <c r="AG1" s="214"/>
      <c r="AH1" s="214"/>
      <c r="AI1" s="214"/>
      <c r="AJ1" s="214"/>
      <c r="AK1" s="214"/>
      <c r="AL1" s="214"/>
      <c r="AM1" s="214"/>
      <c r="AN1" s="214"/>
      <c r="AO1" s="214"/>
      <c r="AP1" s="214"/>
    </row>
    <row r="2" spans="1:44" ht="15" thickBot="1" x14ac:dyDescent="0.35">
      <c r="A2" s="319" t="s">
        <v>24</v>
      </c>
      <c r="B2" s="185" t="s">
        <v>573</v>
      </c>
      <c r="C2" s="78">
        <v>299</v>
      </c>
      <c r="D2" s="79">
        <v>513</v>
      </c>
      <c r="E2" s="79">
        <v>635</v>
      </c>
      <c r="F2" s="79">
        <v>550</v>
      </c>
      <c r="G2" s="79">
        <v>559</v>
      </c>
      <c r="H2" s="79">
        <v>551</v>
      </c>
      <c r="I2" s="79">
        <v>445</v>
      </c>
      <c r="J2" s="79">
        <v>580</v>
      </c>
      <c r="K2" s="157">
        <f>AVERAGE(C2:J2)</f>
        <v>516.5</v>
      </c>
      <c r="L2" s="79">
        <v>705</v>
      </c>
      <c r="R2" s="371" t="s">
        <v>24</v>
      </c>
      <c r="S2" s="247" t="s">
        <v>691</v>
      </c>
      <c r="T2" s="248">
        <v>0</v>
      </c>
      <c r="U2" s="248">
        <v>792.63</v>
      </c>
      <c r="V2" s="248">
        <v>629.07000000000005</v>
      </c>
      <c r="W2" s="248">
        <v>1192.28</v>
      </c>
      <c r="X2" s="248">
        <v>1576</v>
      </c>
      <c r="Y2" s="248">
        <v>570</v>
      </c>
      <c r="Z2" s="248">
        <v>380</v>
      </c>
      <c r="AA2" s="248">
        <v>148</v>
      </c>
      <c r="AB2" s="260">
        <f t="shared" ref="AB2:AB3" si="0">AVERAGE(T2:AA2)</f>
        <v>660.99749999999995</v>
      </c>
      <c r="AC2" s="248">
        <v>491.95</v>
      </c>
      <c r="AD2" s="315">
        <v>1347.02</v>
      </c>
    </row>
    <row r="3" spans="1:44" ht="29.4" thickBot="1" x14ac:dyDescent="0.35">
      <c r="A3" s="320"/>
      <c r="B3" s="80" t="s">
        <v>582</v>
      </c>
      <c r="C3" s="81">
        <v>0</v>
      </c>
      <c r="D3" s="82">
        <v>0</v>
      </c>
      <c r="E3" s="82">
        <v>0</v>
      </c>
      <c r="F3" s="82">
        <v>0</v>
      </c>
      <c r="G3" s="82">
        <v>2</v>
      </c>
      <c r="H3" s="82">
        <v>1</v>
      </c>
      <c r="I3" s="82">
        <v>1</v>
      </c>
      <c r="J3" s="82">
        <v>0</v>
      </c>
      <c r="K3" s="157">
        <f>AVERAGE(C3:J3)</f>
        <v>0.5</v>
      </c>
      <c r="L3" s="82">
        <v>0</v>
      </c>
      <c r="R3" s="372"/>
      <c r="S3" s="246" t="s">
        <v>692</v>
      </c>
      <c r="T3" s="285">
        <v>0.38522751778845515</v>
      </c>
      <c r="U3" s="285">
        <v>4.2317740652535933</v>
      </c>
      <c r="V3" s="285">
        <f>(T3+U3+X3+Y3+Z3+W3)*V2/(T2+U2+X2+Y2+Z2+W2)</f>
        <v>5.3253771602280393</v>
      </c>
      <c r="W3" s="249">
        <v>2.33</v>
      </c>
      <c r="X3" s="249">
        <v>6.13</v>
      </c>
      <c r="Y3" s="249">
        <v>9.7100000000000009</v>
      </c>
      <c r="Z3" s="249">
        <v>15.4</v>
      </c>
      <c r="AA3" s="249">
        <v>9.0500000000000007</v>
      </c>
      <c r="AB3" s="287">
        <f t="shared" si="0"/>
        <v>6.570297342908761</v>
      </c>
      <c r="AC3" s="249">
        <v>4</v>
      </c>
      <c r="AD3" s="290"/>
      <c r="AE3"/>
      <c r="AF3" s="76">
        <v>2025</v>
      </c>
      <c r="AG3" s="76" t="s">
        <v>24</v>
      </c>
      <c r="AH3" s="76" t="s">
        <v>574</v>
      </c>
      <c r="AI3" s="76" t="s">
        <v>30</v>
      </c>
      <c r="AJ3" s="76" t="s">
        <v>391</v>
      </c>
      <c r="AK3" s="76" t="s">
        <v>33</v>
      </c>
      <c r="AL3" s="76" t="s">
        <v>37</v>
      </c>
      <c r="AM3" s="76" t="s">
        <v>40</v>
      </c>
      <c r="AN3" s="76" t="s">
        <v>575</v>
      </c>
      <c r="AO3" s="76" t="s">
        <v>43</v>
      </c>
      <c r="AP3" s="76" t="s">
        <v>44</v>
      </c>
      <c r="AQ3" s="76" t="s">
        <v>43</v>
      </c>
      <c r="AR3" s="76" t="s">
        <v>576</v>
      </c>
    </row>
    <row r="4" spans="1:44" ht="15" thickBot="1" x14ac:dyDescent="0.35">
      <c r="A4" s="320"/>
      <c r="B4" s="186" t="s">
        <v>583</v>
      </c>
      <c r="C4" s="83">
        <f>C3/C2</f>
        <v>0</v>
      </c>
      <c r="D4" s="83">
        <f t="shared" ref="D4:K4" si="1">D3/D2</f>
        <v>0</v>
      </c>
      <c r="E4" s="83">
        <f t="shared" si="1"/>
        <v>0</v>
      </c>
      <c r="F4" s="83">
        <f t="shared" si="1"/>
        <v>0</v>
      </c>
      <c r="G4" s="83">
        <f t="shared" si="1"/>
        <v>3.5778175313059034E-3</v>
      </c>
      <c r="H4" s="83">
        <f t="shared" si="1"/>
        <v>1.8148820326678765E-3</v>
      </c>
      <c r="I4" s="83">
        <f t="shared" si="1"/>
        <v>2.2471910112359553E-3</v>
      </c>
      <c r="J4" s="83">
        <f t="shared" si="1"/>
        <v>0</v>
      </c>
      <c r="K4" s="158">
        <f t="shared" si="1"/>
        <v>9.6805421103581804E-4</v>
      </c>
      <c r="L4" s="83">
        <f t="shared" ref="L4" si="2">L3/L2</f>
        <v>0</v>
      </c>
      <c r="R4" s="372"/>
      <c r="S4" s="185" t="s">
        <v>589</v>
      </c>
      <c r="T4" s="215">
        <v>1.1000000000000001E-3</v>
      </c>
      <c r="U4" s="215">
        <v>7.3000000000000001E-3</v>
      </c>
      <c r="V4" s="215">
        <v>2.5000000000000001E-3</v>
      </c>
      <c r="W4" s="215">
        <v>3.0999999999999999E-3</v>
      </c>
      <c r="X4" s="215">
        <v>1.7899999999999999E-2</v>
      </c>
      <c r="Y4" s="215">
        <v>7.4000000000000003E-3</v>
      </c>
      <c r="Z4" s="215">
        <v>8.8000000000000005E-3</v>
      </c>
      <c r="AA4" s="215">
        <v>2.3999999999999998E-3</v>
      </c>
      <c r="AB4" s="215">
        <f>AVERAGE(T4:AA4)</f>
        <v>6.3125000000000004E-3</v>
      </c>
      <c r="AC4" s="250">
        <v>2.8999999999999998E-3</v>
      </c>
      <c r="AD4" s="291"/>
      <c r="AE4"/>
      <c r="AF4" s="76" t="s">
        <v>41</v>
      </c>
      <c r="AG4" s="230">
        <v>0.01</v>
      </c>
      <c r="AH4" s="230">
        <v>0.01</v>
      </c>
      <c r="AI4" s="230">
        <v>0.01</v>
      </c>
      <c r="AJ4" s="230">
        <v>0.01</v>
      </c>
      <c r="AK4" s="230">
        <v>0.01</v>
      </c>
      <c r="AL4" s="230">
        <v>0.01</v>
      </c>
      <c r="AM4" s="230">
        <v>0.01</v>
      </c>
      <c r="AN4" s="230">
        <v>0.01</v>
      </c>
      <c r="AO4" s="230">
        <v>0.01</v>
      </c>
      <c r="AP4" s="230">
        <v>0.01</v>
      </c>
      <c r="AQ4" s="230">
        <v>0.01</v>
      </c>
      <c r="AR4" s="230">
        <v>0.01</v>
      </c>
    </row>
    <row r="5" spans="1:44" ht="29.4" thickBot="1" x14ac:dyDescent="0.35">
      <c r="A5" s="321"/>
      <c r="B5" s="80" t="s">
        <v>579</v>
      </c>
      <c r="C5" s="81">
        <v>17</v>
      </c>
      <c r="D5" s="82">
        <v>42</v>
      </c>
      <c r="E5" s="82">
        <v>69</v>
      </c>
      <c r="F5" s="82">
        <v>41</v>
      </c>
      <c r="G5" s="82">
        <v>209</v>
      </c>
      <c r="H5" s="82">
        <v>327</v>
      </c>
      <c r="I5" s="82">
        <v>226</v>
      </c>
      <c r="J5" s="82">
        <v>100</v>
      </c>
      <c r="K5" s="157">
        <f>AVERAGE(C5:J5)</f>
        <v>128.875</v>
      </c>
      <c r="L5" s="82">
        <v>220</v>
      </c>
      <c r="R5" s="373"/>
      <c r="S5" s="186" t="s">
        <v>590</v>
      </c>
      <c r="T5" s="251">
        <v>1.9E-2</v>
      </c>
      <c r="U5" s="251">
        <v>1.7000000000000001E-2</v>
      </c>
      <c r="V5" s="251">
        <v>7.4999999999999997E-3</v>
      </c>
      <c r="W5" s="251">
        <v>7.4999999999999997E-3</v>
      </c>
      <c r="X5" s="251">
        <v>0.01</v>
      </c>
      <c r="Y5" s="251">
        <v>0.01</v>
      </c>
      <c r="Z5" s="251">
        <v>0.01</v>
      </c>
      <c r="AA5" s="251">
        <v>0.01</v>
      </c>
      <c r="AB5" s="251">
        <f>AVERAGE(T5:AA5)</f>
        <v>1.1375E-2</v>
      </c>
      <c r="AC5" s="252">
        <v>2E-3</v>
      </c>
      <c r="AD5" s="291"/>
      <c r="AE5"/>
      <c r="AF5" s="76" t="s">
        <v>588</v>
      </c>
      <c r="AG5" s="230">
        <v>2.3702775001299969E-3</v>
      </c>
      <c r="AH5" s="230">
        <v>1.4759275928633493E-3</v>
      </c>
      <c r="AI5" s="230">
        <v>4.1499608372133501E-3</v>
      </c>
      <c r="AJ5" s="230">
        <v>2.6241732877624398E-3</v>
      </c>
      <c r="AK5" s="230">
        <v>2.2415397976172768E-3</v>
      </c>
      <c r="AL5" s="230">
        <v>1.61913933750824E-3</v>
      </c>
      <c r="AM5" s="230">
        <v>1.7058693913104164E-3</v>
      </c>
      <c r="AN5" s="230">
        <v>1.2588919123448243E-3</v>
      </c>
      <c r="AO5" s="230">
        <v>1.4779337095960816E-3</v>
      </c>
      <c r="AP5" s="230">
        <v>1.9075408140898425E-3</v>
      </c>
      <c r="AQ5" s="230">
        <v>1.4779337095960816E-3</v>
      </c>
      <c r="AR5" s="230">
        <v>2.6370334397877626E-3</v>
      </c>
    </row>
    <row r="6" spans="1:44" ht="15" thickBot="1" x14ac:dyDescent="0.35">
      <c r="A6" s="322"/>
      <c r="B6" s="186" t="s">
        <v>580</v>
      </c>
      <c r="C6" s="83">
        <f>C5/C2</f>
        <v>5.6856187290969896E-2</v>
      </c>
      <c r="D6" s="83">
        <f t="shared" ref="D6:K6" si="3">D5/D2</f>
        <v>8.1871345029239762E-2</v>
      </c>
      <c r="E6" s="83">
        <f t="shared" si="3"/>
        <v>0.10866141732283464</v>
      </c>
      <c r="F6" s="83">
        <f t="shared" si="3"/>
        <v>7.454545454545454E-2</v>
      </c>
      <c r="G6" s="83">
        <f t="shared" si="3"/>
        <v>0.37388193202146691</v>
      </c>
      <c r="H6" s="83">
        <f t="shared" si="3"/>
        <v>0.59346642468239563</v>
      </c>
      <c r="I6" s="83">
        <f t="shared" si="3"/>
        <v>0.50786516853932584</v>
      </c>
      <c r="J6" s="83">
        <f t="shared" si="3"/>
        <v>0.17241379310344829</v>
      </c>
      <c r="K6" s="158">
        <f t="shared" si="3"/>
        <v>0.2495159728944821</v>
      </c>
      <c r="L6" s="83">
        <f t="shared" ref="L6" si="4">L5/L2</f>
        <v>0.31205673758865249</v>
      </c>
      <c r="R6" s="398" t="s">
        <v>574</v>
      </c>
      <c r="S6" s="258" t="s">
        <v>691</v>
      </c>
      <c r="T6" s="260">
        <v>114.2</v>
      </c>
      <c r="U6" s="260">
        <v>125.04</v>
      </c>
      <c r="V6" s="260">
        <v>1335.63</v>
      </c>
      <c r="W6" s="260">
        <v>1415.44</v>
      </c>
      <c r="X6" s="260">
        <v>2339</v>
      </c>
      <c r="Y6" s="260">
        <v>769</v>
      </c>
      <c r="Z6" s="260">
        <v>183</v>
      </c>
      <c r="AA6" s="260">
        <v>145</v>
      </c>
      <c r="AB6" s="260">
        <f t="shared" ref="AB6:AB7" si="5">AVERAGE(T6:AA6)</f>
        <v>803.28875000000005</v>
      </c>
      <c r="AC6" s="260"/>
      <c r="AD6" s="292"/>
      <c r="AE6"/>
      <c r="AF6"/>
      <c r="AG6"/>
      <c r="AH6"/>
      <c r="AI6"/>
      <c r="AJ6"/>
      <c r="AK6"/>
      <c r="AL6"/>
      <c r="AM6"/>
      <c r="AN6"/>
      <c r="AO6"/>
      <c r="AP6"/>
    </row>
    <row r="7" spans="1:44" ht="15" thickBot="1" x14ac:dyDescent="0.35">
      <c r="A7" s="323" t="s">
        <v>574</v>
      </c>
      <c r="B7" s="187" t="s">
        <v>573</v>
      </c>
      <c r="C7" s="84">
        <v>560</v>
      </c>
      <c r="D7" s="85">
        <v>571</v>
      </c>
      <c r="E7" s="85">
        <v>731</v>
      </c>
      <c r="F7" s="85">
        <v>799</v>
      </c>
      <c r="G7" s="85">
        <v>489</v>
      </c>
      <c r="H7" s="85">
        <v>556</v>
      </c>
      <c r="I7" s="85">
        <v>461</v>
      </c>
      <c r="J7" s="85">
        <v>500</v>
      </c>
      <c r="K7" s="159">
        <f>AVERAGE(C7:J7)</f>
        <v>583.375</v>
      </c>
      <c r="L7" s="85"/>
      <c r="R7" s="399"/>
      <c r="S7" s="258" t="s">
        <v>692</v>
      </c>
      <c r="T7" s="276"/>
      <c r="U7" s="276"/>
      <c r="V7" s="276">
        <f>(T7+U7+X7+Y7+Z7+W7)*V6/(T6+U6+X6+Y6+Z6+W6)</f>
        <v>10.878014024360654</v>
      </c>
      <c r="W7" s="276">
        <v>4.82</v>
      </c>
      <c r="X7" s="276">
        <v>13.46</v>
      </c>
      <c r="Y7" s="276">
        <v>10</v>
      </c>
      <c r="Z7" s="276">
        <v>12</v>
      </c>
      <c r="AA7" s="276">
        <v>7.2</v>
      </c>
      <c r="AB7" s="287">
        <f t="shared" si="5"/>
        <v>9.7263356707267761</v>
      </c>
      <c r="AC7" s="276"/>
      <c r="AD7" s="293"/>
    </row>
    <row r="8" spans="1:44" ht="29.4" thickBot="1" x14ac:dyDescent="0.35">
      <c r="A8" s="324"/>
      <c r="B8" s="86" t="s">
        <v>582</v>
      </c>
      <c r="C8" s="87">
        <v>0</v>
      </c>
      <c r="D8" s="88">
        <v>0</v>
      </c>
      <c r="E8" s="88">
        <v>0</v>
      </c>
      <c r="F8" s="88">
        <v>0</v>
      </c>
      <c r="G8" s="88">
        <v>6</v>
      </c>
      <c r="H8" s="88">
        <v>0</v>
      </c>
      <c r="I8" s="88">
        <v>2</v>
      </c>
      <c r="J8" s="88">
        <v>0</v>
      </c>
      <c r="K8" s="159">
        <f>AVERAGE(C8:J8)</f>
        <v>1</v>
      </c>
      <c r="L8" s="88"/>
      <c r="R8" s="399"/>
      <c r="S8" s="258" t="s">
        <v>589</v>
      </c>
      <c r="T8" s="259">
        <v>1.6000000000000001E-3</v>
      </c>
      <c r="U8" s="259">
        <v>1.6000000000000001E-3</v>
      </c>
      <c r="V8" s="259">
        <v>8.5000000000000006E-3</v>
      </c>
      <c r="W8" s="259">
        <v>4.4000000000000003E-3</v>
      </c>
      <c r="X8" s="259">
        <v>2.5000000000000001E-2</v>
      </c>
      <c r="Y8" s="259">
        <v>6.4999999999999997E-3</v>
      </c>
      <c r="Z8" s="259">
        <v>5.0000000000000001E-3</v>
      </c>
      <c r="AA8" s="259">
        <v>1.5E-3</v>
      </c>
      <c r="AB8" s="259">
        <f>AVERAGE(T8:AA8)</f>
        <v>6.7624999999999994E-3</v>
      </c>
      <c r="AC8" s="259"/>
      <c r="AD8" s="294"/>
      <c r="AE8"/>
      <c r="AF8"/>
      <c r="AG8"/>
      <c r="AH8"/>
      <c r="AI8"/>
      <c r="AJ8"/>
      <c r="AK8"/>
      <c r="AL8"/>
      <c r="AM8"/>
      <c r="AN8"/>
      <c r="AO8"/>
      <c r="AP8"/>
    </row>
    <row r="9" spans="1:44" ht="15" thickBot="1" x14ac:dyDescent="0.35">
      <c r="A9" s="324"/>
      <c r="B9" s="188" t="s">
        <v>583</v>
      </c>
      <c r="C9" s="89">
        <f t="shared" ref="C9:L9" si="6">C8/C7</f>
        <v>0</v>
      </c>
      <c r="D9" s="89">
        <f t="shared" si="6"/>
        <v>0</v>
      </c>
      <c r="E9" s="89">
        <f t="shared" si="6"/>
        <v>0</v>
      </c>
      <c r="F9" s="89">
        <f t="shared" si="6"/>
        <v>0</v>
      </c>
      <c r="G9" s="89">
        <f t="shared" si="6"/>
        <v>1.2269938650306749E-2</v>
      </c>
      <c r="H9" s="89">
        <f t="shared" si="6"/>
        <v>0</v>
      </c>
      <c r="I9" s="89">
        <f t="shared" si="6"/>
        <v>4.3383947939262474E-3</v>
      </c>
      <c r="J9" s="89">
        <f t="shared" si="6"/>
        <v>0</v>
      </c>
      <c r="K9" s="160">
        <f t="shared" si="6"/>
        <v>1.7141632740518534E-3</v>
      </c>
      <c r="L9" s="89" t="e">
        <f t="shared" si="6"/>
        <v>#DIV/0!</v>
      </c>
      <c r="R9" s="400"/>
      <c r="S9" s="274" t="s">
        <v>590</v>
      </c>
      <c r="T9" s="275">
        <v>1.9E-2</v>
      </c>
      <c r="U9" s="275">
        <v>1.7000000000000001E-2</v>
      </c>
      <c r="V9" s="275">
        <v>7.4999999999999997E-3</v>
      </c>
      <c r="W9" s="275">
        <v>7.4999999999999997E-3</v>
      </c>
      <c r="X9" s="275">
        <v>0.01</v>
      </c>
      <c r="Y9" s="275">
        <v>0.01</v>
      </c>
      <c r="Z9" s="275">
        <v>0.01</v>
      </c>
      <c r="AA9" s="275">
        <v>0.01</v>
      </c>
      <c r="AB9" s="275">
        <f>AVERAGE(T9:AA9)</f>
        <v>1.1375E-2</v>
      </c>
      <c r="AC9" s="275">
        <v>0.01</v>
      </c>
      <c r="AD9" s="294"/>
      <c r="AE9"/>
      <c r="AF9"/>
      <c r="AG9"/>
      <c r="AH9"/>
      <c r="AI9"/>
      <c r="AJ9"/>
      <c r="AK9"/>
      <c r="AL9"/>
      <c r="AM9"/>
      <c r="AN9"/>
      <c r="AO9"/>
      <c r="AP9"/>
    </row>
    <row r="10" spans="1:44" ht="29.4" thickBot="1" x14ac:dyDescent="0.35">
      <c r="A10" s="325"/>
      <c r="B10" s="86" t="s">
        <v>579</v>
      </c>
      <c r="C10" s="87">
        <v>25</v>
      </c>
      <c r="D10" s="88">
        <v>39</v>
      </c>
      <c r="E10" s="88">
        <v>104</v>
      </c>
      <c r="F10" s="88">
        <v>47</v>
      </c>
      <c r="G10" s="88">
        <v>276</v>
      </c>
      <c r="H10" s="88">
        <v>215</v>
      </c>
      <c r="I10" s="88">
        <v>223</v>
      </c>
      <c r="J10" s="88">
        <v>77</v>
      </c>
      <c r="K10" s="159">
        <f>AVERAGE(C10:J10)</f>
        <v>125.75</v>
      </c>
      <c r="L10" s="88"/>
      <c r="R10" s="374" t="s">
        <v>30</v>
      </c>
      <c r="S10" s="269" t="s">
        <v>691</v>
      </c>
      <c r="T10" s="271">
        <v>35.1</v>
      </c>
      <c r="U10" s="271">
        <v>193.46</v>
      </c>
      <c r="V10" s="271">
        <v>146</v>
      </c>
      <c r="W10" s="271">
        <v>1967.56</v>
      </c>
      <c r="X10" s="271">
        <v>2868</v>
      </c>
      <c r="Y10" s="271">
        <v>235</v>
      </c>
      <c r="Z10" s="271">
        <v>462</v>
      </c>
      <c r="AA10" s="271">
        <v>459</v>
      </c>
      <c r="AB10" s="260">
        <f t="shared" ref="AB10:AB11" si="7">AVERAGE(T10:AA10)</f>
        <v>795.76499999999999</v>
      </c>
      <c r="AC10" s="271"/>
      <c r="AD10" s="295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4" ht="15" thickBot="1" x14ac:dyDescent="0.35">
      <c r="A11" s="326"/>
      <c r="B11" s="188" t="s">
        <v>580</v>
      </c>
      <c r="C11" s="89">
        <f>C10/C7</f>
        <v>4.4642857142857144E-2</v>
      </c>
      <c r="D11" s="89">
        <f t="shared" ref="D11:K11" si="8">D10/D7</f>
        <v>6.8301225919439573E-2</v>
      </c>
      <c r="E11" s="89">
        <f t="shared" si="8"/>
        <v>0.14227086183310533</v>
      </c>
      <c r="F11" s="89">
        <f t="shared" si="8"/>
        <v>5.8823529411764705E-2</v>
      </c>
      <c r="G11" s="89">
        <f t="shared" si="8"/>
        <v>0.56441717791411039</v>
      </c>
      <c r="H11" s="89">
        <f t="shared" si="8"/>
        <v>0.38669064748201437</v>
      </c>
      <c r="I11" s="89">
        <f t="shared" si="8"/>
        <v>0.48373101952277658</v>
      </c>
      <c r="J11" s="89">
        <f t="shared" si="8"/>
        <v>0.154</v>
      </c>
      <c r="K11" s="160">
        <f t="shared" si="8"/>
        <v>0.21555603171202056</v>
      </c>
      <c r="L11" s="89" t="e">
        <f t="shared" ref="L11" si="9">L10/L7</f>
        <v>#DIV/0!</v>
      </c>
      <c r="R11" s="375"/>
      <c r="S11" s="269" t="s">
        <v>692</v>
      </c>
      <c r="T11" s="285">
        <v>0.38522751778845515</v>
      </c>
      <c r="U11" s="285">
        <v>4.2317740652535933</v>
      </c>
      <c r="V11" s="285">
        <f>(T11+U11+X11+Y11+Z11+W11)*V10/(T10+U10+X10+Y10+Z10+W10)</f>
        <v>1.0407320505603319</v>
      </c>
      <c r="W11" s="277">
        <v>13.39</v>
      </c>
      <c r="X11" s="277">
        <v>5.0599999999999996</v>
      </c>
      <c r="Y11" s="277">
        <v>9</v>
      </c>
      <c r="Z11" s="277">
        <v>9</v>
      </c>
      <c r="AA11" s="277">
        <v>13.11</v>
      </c>
      <c r="AB11" s="287">
        <f t="shared" si="7"/>
        <v>6.9022167042002973</v>
      </c>
      <c r="AC11" s="277"/>
      <c r="AD11" s="296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4" ht="15" thickBot="1" x14ac:dyDescent="0.35">
      <c r="A12" s="327" t="s">
        <v>30</v>
      </c>
      <c r="B12" s="189" t="s">
        <v>573</v>
      </c>
      <c r="C12" s="90">
        <v>788</v>
      </c>
      <c r="D12" s="91">
        <v>638</v>
      </c>
      <c r="E12" s="91">
        <v>421</v>
      </c>
      <c r="F12" s="91">
        <v>496</v>
      </c>
      <c r="G12" s="91">
        <v>967</v>
      </c>
      <c r="H12" s="91">
        <v>538</v>
      </c>
      <c r="I12" s="91">
        <v>299</v>
      </c>
      <c r="J12" s="91">
        <v>573</v>
      </c>
      <c r="K12" s="161">
        <f>AVERAGE(C12:J12)</f>
        <v>590</v>
      </c>
      <c r="L12" s="91"/>
      <c r="R12" s="375"/>
      <c r="S12" s="269" t="s">
        <v>589</v>
      </c>
      <c r="T12" s="270">
        <v>5.9999999999999995E-4</v>
      </c>
      <c r="U12" s="270">
        <v>1.6999999999999999E-3</v>
      </c>
      <c r="V12" s="270">
        <v>2.5000000000000001E-3</v>
      </c>
      <c r="W12" s="270">
        <v>1.04E-2</v>
      </c>
      <c r="X12" s="270">
        <v>8.8000000000000005E-3</v>
      </c>
      <c r="Y12" s="270">
        <v>3.2000000000000002E-3</v>
      </c>
      <c r="Z12" s="270">
        <v>4.4999999999999997E-3</v>
      </c>
      <c r="AA12" s="270">
        <v>4.1000000000000003E-3</v>
      </c>
      <c r="AB12" s="270">
        <f>AVERAGE(T12:AA12)</f>
        <v>4.4749999999999998E-3</v>
      </c>
      <c r="AC12" s="271"/>
      <c r="AD12" s="295"/>
    </row>
    <row r="13" spans="1:44" ht="29.4" thickBot="1" x14ac:dyDescent="0.35">
      <c r="A13" s="328"/>
      <c r="B13" s="92" t="s">
        <v>582</v>
      </c>
      <c r="C13" s="93">
        <v>0</v>
      </c>
      <c r="D13" s="94">
        <v>0</v>
      </c>
      <c r="E13" s="94">
        <v>0</v>
      </c>
      <c r="F13" s="94">
        <v>0</v>
      </c>
      <c r="G13" s="94">
        <v>3</v>
      </c>
      <c r="H13" s="94">
        <v>2</v>
      </c>
      <c r="I13" s="94">
        <v>0</v>
      </c>
      <c r="J13" s="94">
        <v>2</v>
      </c>
      <c r="K13" s="161">
        <f>AVERAGE(C13:J13)</f>
        <v>0.875</v>
      </c>
      <c r="L13" s="94"/>
      <c r="R13" s="376"/>
      <c r="S13" s="272" t="s">
        <v>590</v>
      </c>
      <c r="T13" s="273">
        <v>1.9E-2</v>
      </c>
      <c r="U13" s="273">
        <v>1.7000000000000001E-2</v>
      </c>
      <c r="V13" s="273">
        <v>7.4999999999999997E-3</v>
      </c>
      <c r="W13" s="273">
        <v>7.4999999999999997E-3</v>
      </c>
      <c r="X13" s="273">
        <v>0.01</v>
      </c>
      <c r="Y13" s="273">
        <v>0.01</v>
      </c>
      <c r="Z13" s="273">
        <v>0.01</v>
      </c>
      <c r="AA13" s="273">
        <v>0.01</v>
      </c>
      <c r="AB13" s="273">
        <f>AVERAGE(T13:AA13)</f>
        <v>1.1375E-2</v>
      </c>
      <c r="AC13" s="271">
        <v>0.01</v>
      </c>
      <c r="AD13" s="295"/>
      <c r="AE13"/>
      <c r="AF13"/>
      <c r="AG13"/>
      <c r="AH13"/>
      <c r="AI13"/>
      <c r="AJ13"/>
      <c r="AK13"/>
      <c r="AL13"/>
      <c r="AM13"/>
      <c r="AN13"/>
      <c r="AO13"/>
      <c r="AP13"/>
    </row>
    <row r="14" spans="1:44" ht="15" thickBot="1" x14ac:dyDescent="0.35">
      <c r="A14" s="328"/>
      <c r="B14" s="190" t="s">
        <v>583</v>
      </c>
      <c r="C14" s="95">
        <f t="shared" ref="C14:L14" si="10">C13/C12</f>
        <v>0</v>
      </c>
      <c r="D14" s="95">
        <f t="shared" si="10"/>
        <v>0</v>
      </c>
      <c r="E14" s="95">
        <f t="shared" si="10"/>
        <v>0</v>
      </c>
      <c r="F14" s="95">
        <f t="shared" si="10"/>
        <v>0</v>
      </c>
      <c r="G14" s="95">
        <f t="shared" si="10"/>
        <v>3.1023784901758012E-3</v>
      </c>
      <c r="H14" s="95">
        <f t="shared" si="10"/>
        <v>3.7174721189591076E-3</v>
      </c>
      <c r="I14" s="95">
        <f t="shared" si="10"/>
        <v>0</v>
      </c>
      <c r="J14" s="95">
        <f t="shared" si="10"/>
        <v>3.4904013961605585E-3</v>
      </c>
      <c r="K14" s="162">
        <f t="shared" si="10"/>
        <v>1.4830508474576272E-3</v>
      </c>
      <c r="L14" s="95" t="e">
        <f t="shared" si="10"/>
        <v>#DIV/0!</v>
      </c>
      <c r="R14" s="377" t="s">
        <v>391</v>
      </c>
      <c r="S14" s="224" t="s">
        <v>691</v>
      </c>
      <c r="T14" s="254">
        <v>47.6</v>
      </c>
      <c r="U14" s="254">
        <v>90.87</v>
      </c>
      <c r="V14" s="254">
        <v>0</v>
      </c>
      <c r="W14" s="254">
        <v>1703.7</v>
      </c>
      <c r="X14" s="254">
        <v>2769</v>
      </c>
      <c r="Y14" s="254">
        <v>503</v>
      </c>
      <c r="Z14" s="254">
        <v>486</v>
      </c>
      <c r="AA14" s="254">
        <v>401.45</v>
      </c>
      <c r="AB14" s="260">
        <f t="shared" ref="AB14:AB15" si="11">AVERAGE(T14:AA14)</f>
        <v>750.20249999999999</v>
      </c>
      <c r="AC14" s="254"/>
      <c r="AD14" s="297"/>
      <c r="AE14"/>
      <c r="AF14"/>
      <c r="AG14"/>
      <c r="AH14"/>
      <c r="AI14"/>
      <c r="AJ14"/>
      <c r="AK14"/>
      <c r="AL14"/>
      <c r="AM14"/>
      <c r="AN14"/>
      <c r="AO14"/>
      <c r="AP14"/>
    </row>
    <row r="15" spans="1:44" ht="29.4" thickBot="1" x14ac:dyDescent="0.35">
      <c r="A15" s="329"/>
      <c r="B15" s="92" t="s">
        <v>579</v>
      </c>
      <c r="C15" s="93">
        <v>35</v>
      </c>
      <c r="D15" s="94">
        <v>19</v>
      </c>
      <c r="E15" s="94">
        <v>57</v>
      </c>
      <c r="F15" s="94">
        <v>245</v>
      </c>
      <c r="G15" s="94">
        <v>261</v>
      </c>
      <c r="H15" s="94">
        <v>195</v>
      </c>
      <c r="I15" s="94">
        <v>220</v>
      </c>
      <c r="J15" s="94">
        <v>149</v>
      </c>
      <c r="K15" s="161">
        <f>AVERAGE(C15:J15)</f>
        <v>147.625</v>
      </c>
      <c r="L15" s="94"/>
      <c r="R15" s="378"/>
      <c r="S15" s="224" t="s">
        <v>692</v>
      </c>
      <c r="T15" s="285">
        <v>0.38522751778845515</v>
      </c>
      <c r="U15" s="285">
        <v>4.2317740652535933</v>
      </c>
      <c r="V15" s="285">
        <f>(T15+U15+X15+Y15+Z15+W15)*V14/(T14+U14+X14+Y14+Z14+W14)</f>
        <v>0</v>
      </c>
      <c r="W15" s="286">
        <v>7.05</v>
      </c>
      <c r="X15" s="286">
        <v>2.87</v>
      </c>
      <c r="Y15" s="286">
        <v>9.76</v>
      </c>
      <c r="Z15" s="286">
        <v>10.39</v>
      </c>
      <c r="AA15" s="286">
        <v>5.5</v>
      </c>
      <c r="AB15" s="287">
        <f t="shared" si="11"/>
        <v>5.0233751978802559</v>
      </c>
      <c r="AC15" s="286"/>
      <c r="AD15" s="298"/>
      <c r="AE15"/>
      <c r="AF15"/>
      <c r="AG15"/>
      <c r="AH15"/>
      <c r="AI15"/>
      <c r="AJ15"/>
      <c r="AK15"/>
      <c r="AL15"/>
      <c r="AM15"/>
      <c r="AN15"/>
      <c r="AO15"/>
      <c r="AP15"/>
    </row>
    <row r="16" spans="1:44" ht="15" thickBot="1" x14ac:dyDescent="0.35">
      <c r="A16" s="330"/>
      <c r="B16" s="190" t="s">
        <v>580</v>
      </c>
      <c r="C16" s="95">
        <f t="shared" ref="C16:K16" si="12">C15/C12</f>
        <v>4.4416243654822336E-2</v>
      </c>
      <c r="D16" s="95">
        <f t="shared" si="12"/>
        <v>2.9780564263322883E-2</v>
      </c>
      <c r="E16" s="95">
        <f t="shared" si="12"/>
        <v>0.13539192399049882</v>
      </c>
      <c r="F16" s="95">
        <f t="shared" si="12"/>
        <v>0.49395161290322581</v>
      </c>
      <c r="G16" s="95">
        <f t="shared" si="12"/>
        <v>0.26990692864529475</v>
      </c>
      <c r="H16" s="95">
        <f t="shared" si="12"/>
        <v>0.36245353159851301</v>
      </c>
      <c r="I16" s="95">
        <f t="shared" si="12"/>
        <v>0.73578595317725748</v>
      </c>
      <c r="J16" s="95">
        <f t="shared" si="12"/>
        <v>0.26003490401396162</v>
      </c>
      <c r="K16" s="162">
        <f t="shared" si="12"/>
        <v>0.25021186440677967</v>
      </c>
      <c r="L16" s="95" t="e">
        <f t="shared" ref="L16" si="13">L15/L12</f>
        <v>#DIV/0!</v>
      </c>
      <c r="R16" s="378"/>
      <c r="S16" s="224" t="s">
        <v>589</v>
      </c>
      <c r="T16" s="225">
        <v>1.6999999999999999E-3</v>
      </c>
      <c r="U16" s="225">
        <v>8.0000000000000004E-4</v>
      </c>
      <c r="V16" s="225"/>
      <c r="W16" s="225">
        <v>6.1999999999999998E-3</v>
      </c>
      <c r="X16" s="225">
        <v>7.4999999999999997E-3</v>
      </c>
      <c r="Y16" s="225">
        <v>6.3E-3</v>
      </c>
      <c r="Z16" s="225">
        <v>5.8999999999999999E-3</v>
      </c>
      <c r="AA16" s="225">
        <v>2.5999999999999999E-3</v>
      </c>
      <c r="AB16" s="225">
        <f>AVERAGE(T16:AA16)</f>
        <v>4.4285714285714284E-3</v>
      </c>
      <c r="AC16" s="254"/>
      <c r="AD16" s="297"/>
      <c r="AE16"/>
      <c r="AF16"/>
      <c r="AG16"/>
      <c r="AH16"/>
      <c r="AI16"/>
      <c r="AJ16"/>
      <c r="AK16"/>
      <c r="AL16"/>
      <c r="AM16"/>
      <c r="AN16"/>
      <c r="AO16"/>
      <c r="AP16"/>
    </row>
    <row r="17" spans="1:42" ht="15" thickBot="1" x14ac:dyDescent="0.35">
      <c r="A17" s="331" t="s">
        <v>391</v>
      </c>
      <c r="B17" s="191" t="s">
        <v>573</v>
      </c>
      <c r="C17" s="96">
        <v>609</v>
      </c>
      <c r="D17" s="97">
        <v>573</v>
      </c>
      <c r="E17" s="97">
        <v>0</v>
      </c>
      <c r="F17" s="97">
        <v>698</v>
      </c>
      <c r="G17" s="97">
        <v>773</v>
      </c>
      <c r="H17" s="97">
        <v>372</v>
      </c>
      <c r="I17" s="97">
        <v>351</v>
      </c>
      <c r="J17" s="97">
        <v>758</v>
      </c>
      <c r="K17" s="163">
        <f>AVERAGE(C17:J17)</f>
        <v>516.75</v>
      </c>
      <c r="L17" s="97"/>
      <c r="R17" s="379"/>
      <c r="S17" s="226" t="s">
        <v>590</v>
      </c>
      <c r="T17" s="225">
        <v>1.9E-2</v>
      </c>
      <c r="U17" s="225">
        <v>3.0000000000000001E-3</v>
      </c>
      <c r="V17" s="225">
        <v>7.4999999999999997E-3</v>
      </c>
      <c r="W17" s="225">
        <v>7.4999999999999997E-3</v>
      </c>
      <c r="X17" s="225">
        <v>0.01</v>
      </c>
      <c r="Y17" s="225">
        <v>0.01</v>
      </c>
      <c r="Z17" s="225">
        <v>0.01</v>
      </c>
      <c r="AA17" s="225">
        <v>0.01</v>
      </c>
      <c r="AB17" s="225">
        <f>AVERAGE(T17:AA17)</f>
        <v>9.6249999999999999E-3</v>
      </c>
      <c r="AC17" s="254">
        <v>0.01</v>
      </c>
      <c r="AD17" s="297"/>
    </row>
    <row r="18" spans="1:42" ht="29.4" thickBot="1" x14ac:dyDescent="0.35">
      <c r="A18" s="332"/>
      <c r="B18" s="98" t="s">
        <v>582</v>
      </c>
      <c r="C18" s="99">
        <v>0</v>
      </c>
      <c r="D18" s="100">
        <v>0</v>
      </c>
      <c r="E18" s="100">
        <v>0</v>
      </c>
      <c r="F18" s="100">
        <v>0</v>
      </c>
      <c r="G18" s="100">
        <v>1</v>
      </c>
      <c r="H18" s="100">
        <v>1</v>
      </c>
      <c r="I18" s="100">
        <v>1</v>
      </c>
      <c r="J18" s="100">
        <v>0</v>
      </c>
      <c r="K18" s="163">
        <f>AVERAGE(C18:J18)</f>
        <v>0.375</v>
      </c>
      <c r="L18" s="100"/>
      <c r="R18" s="383" t="s">
        <v>33</v>
      </c>
      <c r="S18" s="227" t="s">
        <v>691</v>
      </c>
      <c r="T18" s="255">
        <v>26</v>
      </c>
      <c r="U18" s="255">
        <v>76.680000000000007</v>
      </c>
      <c r="V18" s="255">
        <v>511.42</v>
      </c>
      <c r="W18" s="255">
        <v>1550</v>
      </c>
      <c r="X18" s="255">
        <v>3194</v>
      </c>
      <c r="Y18" s="255">
        <v>644</v>
      </c>
      <c r="Z18" s="255">
        <v>559.5</v>
      </c>
      <c r="AA18" s="255">
        <v>253.68</v>
      </c>
      <c r="AB18" s="260">
        <f t="shared" ref="AB18:AB19" si="14">AVERAGE(T18:AA18)</f>
        <v>851.91000000000008</v>
      </c>
      <c r="AC18" s="255"/>
      <c r="AD18" s="299"/>
      <c r="AE18"/>
      <c r="AF18"/>
      <c r="AG18"/>
      <c r="AH18"/>
      <c r="AI18"/>
      <c r="AJ18"/>
      <c r="AK18"/>
      <c r="AL18"/>
      <c r="AM18"/>
      <c r="AN18"/>
      <c r="AO18"/>
      <c r="AP18"/>
    </row>
    <row r="19" spans="1:42" ht="15" thickBot="1" x14ac:dyDescent="0.35">
      <c r="A19" s="332"/>
      <c r="B19" s="192" t="s">
        <v>583</v>
      </c>
      <c r="C19" s="101">
        <f t="shared" ref="C19:L19" si="15">C18/C17</f>
        <v>0</v>
      </c>
      <c r="D19" s="101">
        <f t="shared" si="15"/>
        <v>0</v>
      </c>
      <c r="E19" s="101" t="e">
        <f t="shared" si="15"/>
        <v>#DIV/0!</v>
      </c>
      <c r="F19" s="101">
        <f t="shared" si="15"/>
        <v>0</v>
      </c>
      <c r="G19" s="101">
        <f t="shared" si="15"/>
        <v>1.29366106080207E-3</v>
      </c>
      <c r="H19" s="101">
        <f t="shared" si="15"/>
        <v>2.6881720430107529E-3</v>
      </c>
      <c r="I19" s="101">
        <f t="shared" si="15"/>
        <v>2.8490028490028491E-3</v>
      </c>
      <c r="J19" s="101">
        <f t="shared" si="15"/>
        <v>0</v>
      </c>
      <c r="K19" s="164">
        <f t="shared" si="15"/>
        <v>7.2568940493468795E-4</v>
      </c>
      <c r="L19" s="101" t="e">
        <f t="shared" si="15"/>
        <v>#DIV/0!</v>
      </c>
      <c r="R19" s="384"/>
      <c r="S19" s="227" t="s">
        <v>692</v>
      </c>
      <c r="T19" s="285">
        <v>0.38522751778845515</v>
      </c>
      <c r="U19" s="285">
        <v>4.2317740652535933</v>
      </c>
      <c r="V19" s="285">
        <f>(T19+U19+X19+Y19+Z19+W19)*V18/(T18+U18+X18+Y18+Z18+W18)</f>
        <v>4.8196309778550992</v>
      </c>
      <c r="W19" s="278">
        <v>27.36</v>
      </c>
      <c r="X19" s="278">
        <v>2.64</v>
      </c>
      <c r="Y19" s="278">
        <v>12.4</v>
      </c>
      <c r="Z19" s="278">
        <v>10</v>
      </c>
      <c r="AA19" s="278">
        <v>6.62</v>
      </c>
      <c r="AB19" s="287">
        <f t="shared" si="14"/>
        <v>8.5570790701121435</v>
      </c>
      <c r="AC19" s="278"/>
      <c r="AD19" s="300"/>
      <c r="AE19"/>
      <c r="AF19"/>
      <c r="AG19"/>
      <c r="AH19"/>
      <c r="AI19"/>
      <c r="AJ19"/>
      <c r="AK19"/>
      <c r="AL19"/>
      <c r="AM19"/>
      <c r="AN19"/>
      <c r="AO19"/>
      <c r="AP19"/>
    </row>
    <row r="20" spans="1:42" ht="29.4" thickBot="1" x14ac:dyDescent="0.35">
      <c r="A20" s="333"/>
      <c r="B20" s="98" t="s">
        <v>579</v>
      </c>
      <c r="C20" s="99">
        <v>83</v>
      </c>
      <c r="D20" s="100">
        <v>20</v>
      </c>
      <c r="E20" s="100">
        <v>0</v>
      </c>
      <c r="F20" s="100">
        <v>202</v>
      </c>
      <c r="G20" s="100">
        <v>109</v>
      </c>
      <c r="H20" s="100">
        <v>255</v>
      </c>
      <c r="I20" s="100">
        <v>200</v>
      </c>
      <c r="J20" s="100">
        <v>138</v>
      </c>
      <c r="K20" s="163">
        <f>AVERAGE(C20:J20)</f>
        <v>125.875</v>
      </c>
      <c r="L20" s="100"/>
      <c r="R20" s="384"/>
      <c r="S20" s="227" t="s">
        <v>589</v>
      </c>
      <c r="T20" s="228">
        <v>1E-3</v>
      </c>
      <c r="U20" s="228">
        <v>5.9999999999999995E-4</v>
      </c>
      <c r="V20" s="228">
        <v>2.5999999999999999E-3</v>
      </c>
      <c r="W20" s="228">
        <v>2.46E-2</v>
      </c>
      <c r="X20" s="228">
        <v>6.6E-3</v>
      </c>
      <c r="Y20" s="228">
        <v>7.4999999999999997E-3</v>
      </c>
      <c r="Z20" s="228">
        <v>7.4000000000000003E-3</v>
      </c>
      <c r="AA20" s="228">
        <v>2.2000000000000001E-3</v>
      </c>
      <c r="AB20" s="228">
        <f>AVERAGE(T20:AA20)</f>
        <v>6.5624999999999998E-3</v>
      </c>
      <c r="AC20" s="255"/>
      <c r="AD20" s="299"/>
      <c r="AE20"/>
      <c r="AF20"/>
      <c r="AG20"/>
      <c r="AH20"/>
      <c r="AI20"/>
      <c r="AJ20"/>
      <c r="AK20"/>
      <c r="AL20"/>
      <c r="AM20"/>
      <c r="AN20"/>
      <c r="AO20"/>
      <c r="AP20"/>
    </row>
    <row r="21" spans="1:42" ht="15" thickBot="1" x14ac:dyDescent="0.35">
      <c r="A21" s="334"/>
      <c r="B21" s="192" t="s">
        <v>580</v>
      </c>
      <c r="C21" s="101">
        <f>C20/C17</f>
        <v>0.13628899835796388</v>
      </c>
      <c r="D21" s="101">
        <f t="shared" ref="D21:J21" si="16">D20/D17</f>
        <v>3.4904013961605584E-2</v>
      </c>
      <c r="E21" s="101">
        <v>0</v>
      </c>
      <c r="F21" s="101">
        <f t="shared" si="16"/>
        <v>0.28939828080229224</v>
      </c>
      <c r="G21" s="101">
        <f t="shared" si="16"/>
        <v>0.14100905562742561</v>
      </c>
      <c r="H21" s="101">
        <f t="shared" si="16"/>
        <v>0.68548387096774188</v>
      </c>
      <c r="I21" s="101">
        <f t="shared" si="16"/>
        <v>0.56980056980056981</v>
      </c>
      <c r="J21" s="101">
        <f t="shared" si="16"/>
        <v>0.18205804749340371</v>
      </c>
      <c r="K21" s="164">
        <f>K20/K17</f>
        <v>0.24358974358974358</v>
      </c>
      <c r="L21" s="101" t="e">
        <f t="shared" ref="L21" si="17">L20/L17</f>
        <v>#DIV/0!</v>
      </c>
      <c r="R21" s="385"/>
      <c r="S21" s="229" t="s">
        <v>590</v>
      </c>
      <c r="T21" s="228">
        <v>1.9E-2</v>
      </c>
      <c r="U21" s="228">
        <v>3.0000000000000001E-3</v>
      </c>
      <c r="V21" s="228">
        <v>7.4999999999999997E-3</v>
      </c>
      <c r="W21" s="228">
        <v>7.4999999999999997E-3</v>
      </c>
      <c r="X21" s="228">
        <v>0.01</v>
      </c>
      <c r="Y21" s="228">
        <v>0.01</v>
      </c>
      <c r="Z21" s="228">
        <v>0.01</v>
      </c>
      <c r="AA21" s="228">
        <v>0.01</v>
      </c>
      <c r="AB21" s="228">
        <f>AVERAGE(T21:AA21)</f>
        <v>9.6249999999999999E-3</v>
      </c>
      <c r="AC21" s="255">
        <v>0.01</v>
      </c>
      <c r="AD21" s="299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 ht="15" thickBot="1" x14ac:dyDescent="0.35">
      <c r="A22" s="335" t="s">
        <v>33</v>
      </c>
      <c r="B22" s="193" t="s">
        <v>573</v>
      </c>
      <c r="C22" s="102">
        <v>874</v>
      </c>
      <c r="D22" s="103">
        <v>842</v>
      </c>
      <c r="E22" s="103">
        <v>497</v>
      </c>
      <c r="F22" s="103">
        <v>511</v>
      </c>
      <c r="G22" s="103">
        <v>980</v>
      </c>
      <c r="H22" s="103">
        <v>707</v>
      </c>
      <c r="I22" s="103">
        <v>447</v>
      </c>
      <c r="J22" s="103">
        <v>727</v>
      </c>
      <c r="K22" s="165">
        <f>AVERAGE(C22:J22)</f>
        <v>698.125</v>
      </c>
      <c r="L22" s="103"/>
      <c r="R22" s="316" t="s">
        <v>37</v>
      </c>
      <c r="S22" s="201" t="s">
        <v>691</v>
      </c>
      <c r="T22" s="256">
        <v>23.4</v>
      </c>
      <c r="U22" s="256">
        <v>15.08</v>
      </c>
      <c r="V22" s="256">
        <v>3043.08</v>
      </c>
      <c r="W22" s="256">
        <v>3577.65</v>
      </c>
      <c r="X22" s="256">
        <v>2036</v>
      </c>
      <c r="Y22" s="256">
        <v>545</v>
      </c>
      <c r="Z22" s="256">
        <v>370.39</v>
      </c>
      <c r="AA22" s="256">
        <v>201.59</v>
      </c>
      <c r="AB22" s="260">
        <f t="shared" ref="AB22:AB23" si="18">AVERAGE(T22:AA22)</f>
        <v>1226.5237499999998</v>
      </c>
      <c r="AC22" s="256"/>
      <c r="AD22" s="301"/>
    </row>
    <row r="23" spans="1:42" ht="29.4" thickBot="1" x14ac:dyDescent="0.35">
      <c r="A23" s="336"/>
      <c r="B23" s="104" t="s">
        <v>582</v>
      </c>
      <c r="C23" s="105">
        <v>0</v>
      </c>
      <c r="D23" s="106">
        <v>0</v>
      </c>
      <c r="E23" s="106">
        <v>0</v>
      </c>
      <c r="F23" s="106">
        <v>0</v>
      </c>
      <c r="G23" s="106">
        <v>8</v>
      </c>
      <c r="H23" s="106">
        <v>1</v>
      </c>
      <c r="I23" s="106">
        <v>1</v>
      </c>
      <c r="J23" s="106">
        <v>1</v>
      </c>
      <c r="K23" s="165">
        <f>AVERAGE(C23:J23)</f>
        <v>1.375</v>
      </c>
      <c r="L23" s="106"/>
      <c r="R23" s="317"/>
      <c r="S23" s="201" t="s">
        <v>692</v>
      </c>
      <c r="T23" s="285">
        <v>0.38522751778845515</v>
      </c>
      <c r="U23" s="285">
        <v>4.2317740652535933</v>
      </c>
      <c r="V23" s="285">
        <f>(T23+U23+X23+Y23+Z23+W23)*V22/(T22+U22+X22+Y22+Z22+W22)</f>
        <v>13.69069139908574</v>
      </c>
      <c r="W23" s="280">
        <v>3.53</v>
      </c>
      <c r="X23" s="280">
        <v>3.8</v>
      </c>
      <c r="Y23" s="280">
        <v>8</v>
      </c>
      <c r="Z23" s="280">
        <v>9.6</v>
      </c>
      <c r="AA23" s="280">
        <v>5.43</v>
      </c>
      <c r="AB23" s="287">
        <f t="shared" si="18"/>
        <v>6.0834616227659737</v>
      </c>
      <c r="AC23" s="280"/>
      <c r="AD23" s="302"/>
      <c r="AE23"/>
      <c r="AF23"/>
      <c r="AG23"/>
      <c r="AH23"/>
      <c r="AI23"/>
      <c r="AJ23"/>
      <c r="AK23"/>
      <c r="AL23"/>
      <c r="AM23"/>
      <c r="AN23"/>
      <c r="AO23"/>
      <c r="AP23"/>
    </row>
    <row r="24" spans="1:42" ht="15" thickBot="1" x14ac:dyDescent="0.35">
      <c r="A24" s="336"/>
      <c r="B24" s="194" t="s">
        <v>583</v>
      </c>
      <c r="C24" s="107">
        <f t="shared" ref="C24:L24" si="19">C23/C22</f>
        <v>0</v>
      </c>
      <c r="D24" s="107">
        <f t="shared" si="19"/>
        <v>0</v>
      </c>
      <c r="E24" s="107">
        <f t="shared" si="19"/>
        <v>0</v>
      </c>
      <c r="F24" s="107">
        <f t="shared" si="19"/>
        <v>0</v>
      </c>
      <c r="G24" s="107">
        <f t="shared" si="19"/>
        <v>8.1632653061224497E-3</v>
      </c>
      <c r="H24" s="107">
        <f t="shared" si="19"/>
        <v>1.4144271570014145E-3</v>
      </c>
      <c r="I24" s="107">
        <f t="shared" si="19"/>
        <v>2.2371364653243847E-3</v>
      </c>
      <c r="J24" s="107">
        <f t="shared" si="19"/>
        <v>1.375515818431912E-3</v>
      </c>
      <c r="K24" s="166">
        <f t="shared" si="19"/>
        <v>1.9695613249776185E-3</v>
      </c>
      <c r="L24" s="107" t="e">
        <f t="shared" si="19"/>
        <v>#DIV/0!</v>
      </c>
      <c r="R24" s="317"/>
      <c r="S24" s="201" t="s">
        <v>589</v>
      </c>
      <c r="T24" s="268">
        <v>1E-3</v>
      </c>
      <c r="U24" s="268">
        <v>4.0000000000000002E-4</v>
      </c>
      <c r="V24" s="268">
        <v>1.44E-2</v>
      </c>
      <c r="W24" s="268">
        <v>1.78E-2</v>
      </c>
      <c r="X24" s="268">
        <v>6.0000000000000001E-3</v>
      </c>
      <c r="Y24" s="268">
        <v>4.4000000000000003E-3</v>
      </c>
      <c r="Z24" s="268">
        <v>7.4000000000000003E-3</v>
      </c>
      <c r="AA24" s="262">
        <v>1.6000000000000001E-3</v>
      </c>
      <c r="AB24" s="262">
        <f>AVERAGE(T24:AA24)</f>
        <v>6.6249999999999998E-3</v>
      </c>
      <c r="AC24" s="256"/>
      <c r="AD24" s="301"/>
      <c r="AE24"/>
      <c r="AF24"/>
      <c r="AG24"/>
      <c r="AH24"/>
      <c r="AI24"/>
      <c r="AJ24"/>
      <c r="AK24"/>
      <c r="AL24"/>
      <c r="AM24"/>
      <c r="AN24"/>
      <c r="AO24"/>
      <c r="AP24"/>
    </row>
    <row r="25" spans="1:42" ht="29.4" thickBot="1" x14ac:dyDescent="0.35">
      <c r="A25" s="337"/>
      <c r="B25" s="104" t="s">
        <v>579</v>
      </c>
      <c r="C25" s="105">
        <v>85</v>
      </c>
      <c r="D25" s="106">
        <v>13</v>
      </c>
      <c r="E25" s="106">
        <v>20</v>
      </c>
      <c r="F25" s="106">
        <v>246</v>
      </c>
      <c r="G25" s="106">
        <v>147</v>
      </c>
      <c r="H25" s="106">
        <v>390</v>
      </c>
      <c r="I25" s="106">
        <v>330</v>
      </c>
      <c r="J25" s="106">
        <v>128</v>
      </c>
      <c r="K25" s="165">
        <f>AVERAGE(C25:J25)</f>
        <v>169.875</v>
      </c>
      <c r="L25" s="106"/>
      <c r="R25" s="318"/>
      <c r="S25" s="128" t="s">
        <v>590</v>
      </c>
      <c r="T25" s="262">
        <v>1.9E-2</v>
      </c>
      <c r="U25" s="262">
        <v>3.0000000000000001E-3</v>
      </c>
      <c r="V25" s="262">
        <v>7.4999999999999997E-3</v>
      </c>
      <c r="W25" s="262">
        <v>7.4999999999999997E-3</v>
      </c>
      <c r="X25" s="262">
        <v>0.01</v>
      </c>
      <c r="Y25" s="262">
        <v>0.01</v>
      </c>
      <c r="Z25" s="262">
        <v>0.01</v>
      </c>
      <c r="AA25" s="262">
        <v>0.01</v>
      </c>
      <c r="AB25" s="262">
        <f>AVERAGE(T25:AA25)</f>
        <v>9.6249999999999999E-3</v>
      </c>
      <c r="AC25" s="256">
        <v>0.01</v>
      </c>
      <c r="AD25" s="301"/>
      <c r="AE25"/>
      <c r="AF25"/>
      <c r="AG25"/>
      <c r="AH25"/>
      <c r="AI25"/>
      <c r="AJ25"/>
      <c r="AK25"/>
      <c r="AL25"/>
      <c r="AM25"/>
      <c r="AN25"/>
      <c r="AO25"/>
      <c r="AP25"/>
    </row>
    <row r="26" spans="1:42" ht="15" thickBot="1" x14ac:dyDescent="0.35">
      <c r="A26" s="338"/>
      <c r="B26" s="194" t="s">
        <v>580</v>
      </c>
      <c r="C26" s="107">
        <f>C25/C22</f>
        <v>9.7254004576659045E-2</v>
      </c>
      <c r="D26" s="107">
        <f t="shared" ref="D26:J26" si="20">D25/D22</f>
        <v>1.5439429928741092E-2</v>
      </c>
      <c r="E26" s="107">
        <f t="shared" si="20"/>
        <v>4.0241448692152917E-2</v>
      </c>
      <c r="F26" s="107">
        <f t="shared" si="20"/>
        <v>0.48140900195694714</v>
      </c>
      <c r="G26" s="107">
        <f t="shared" si="20"/>
        <v>0.15</v>
      </c>
      <c r="H26" s="107">
        <f t="shared" si="20"/>
        <v>0.55162659123055158</v>
      </c>
      <c r="I26" s="107">
        <f t="shared" si="20"/>
        <v>0.73825503355704702</v>
      </c>
      <c r="J26" s="107">
        <f t="shared" si="20"/>
        <v>0.17606602475928473</v>
      </c>
      <c r="K26" s="166">
        <f>K25/K22</f>
        <v>0.2433303491495076</v>
      </c>
      <c r="L26" s="107" t="e">
        <f t="shared" ref="L26" si="21">L25/L22</f>
        <v>#DIV/0!</v>
      </c>
      <c r="R26" s="392" t="s">
        <v>40</v>
      </c>
      <c r="S26" s="221" t="s">
        <v>691</v>
      </c>
      <c r="T26" s="253">
        <v>48.65</v>
      </c>
      <c r="U26" s="253">
        <v>37.590000000000003</v>
      </c>
      <c r="V26" s="253">
        <v>1768.3</v>
      </c>
      <c r="W26" s="253">
        <v>1591.53</v>
      </c>
      <c r="X26" s="253">
        <v>1210</v>
      </c>
      <c r="Y26" s="253">
        <v>642</v>
      </c>
      <c r="Z26" s="253">
        <v>351.77</v>
      </c>
      <c r="AA26" s="253">
        <v>331.8</v>
      </c>
      <c r="AB26" s="260">
        <f t="shared" ref="AB26:AB27" si="22">AVERAGE(T26:AA26)</f>
        <v>747.70500000000004</v>
      </c>
      <c r="AC26" s="253"/>
      <c r="AD26" s="303"/>
      <c r="AE26"/>
      <c r="AF26"/>
      <c r="AG26"/>
      <c r="AH26"/>
      <c r="AI26"/>
      <c r="AJ26"/>
      <c r="AK26"/>
      <c r="AL26"/>
      <c r="AM26"/>
      <c r="AN26"/>
      <c r="AO26"/>
      <c r="AP26"/>
    </row>
    <row r="27" spans="1:42" ht="15" thickBot="1" x14ac:dyDescent="0.35">
      <c r="A27" s="367" t="s">
        <v>37</v>
      </c>
      <c r="B27" s="195" t="s">
        <v>573</v>
      </c>
      <c r="C27" s="108">
        <v>603</v>
      </c>
      <c r="D27" s="109">
        <v>585</v>
      </c>
      <c r="E27" s="109">
        <v>575</v>
      </c>
      <c r="F27" s="109">
        <v>546</v>
      </c>
      <c r="G27" s="109">
        <v>805</v>
      </c>
      <c r="H27" s="109">
        <v>749</v>
      </c>
      <c r="I27" s="109">
        <v>486</v>
      </c>
      <c r="J27" s="109">
        <v>654</v>
      </c>
      <c r="K27" s="167">
        <f>AVERAGE(C27:J27)</f>
        <v>625.375</v>
      </c>
      <c r="L27" s="109"/>
      <c r="R27" s="393"/>
      <c r="S27" s="221" t="s">
        <v>692</v>
      </c>
      <c r="T27" s="285">
        <v>0.38522751778845515</v>
      </c>
      <c r="U27" s="285">
        <v>4.2317740652535933</v>
      </c>
      <c r="V27" s="285">
        <f>(T27+U27+X27+Y27+Z27+W27)*V26/(T26+U26+X26+Y26+Z26+W26)</f>
        <v>24.476227708407812</v>
      </c>
      <c r="W27" s="284">
        <v>26.44</v>
      </c>
      <c r="X27" s="284">
        <v>7.07</v>
      </c>
      <c r="Y27" s="284">
        <v>8.6</v>
      </c>
      <c r="Z27" s="284">
        <v>7</v>
      </c>
      <c r="AA27" s="284">
        <v>4.51</v>
      </c>
      <c r="AB27" s="287">
        <f t="shared" si="22"/>
        <v>10.339153661431233</v>
      </c>
      <c r="AC27" s="284"/>
      <c r="AD27" s="304"/>
    </row>
    <row r="28" spans="1:42" ht="29.4" thickBot="1" x14ac:dyDescent="0.35">
      <c r="A28" s="368"/>
      <c r="B28" s="110" t="s">
        <v>582</v>
      </c>
      <c r="C28" s="111">
        <v>0</v>
      </c>
      <c r="D28" s="112">
        <v>0</v>
      </c>
      <c r="E28" s="112">
        <v>0</v>
      </c>
      <c r="F28" s="112">
        <v>0</v>
      </c>
      <c r="G28" s="112">
        <v>0</v>
      </c>
      <c r="H28" s="112">
        <v>0</v>
      </c>
      <c r="I28" s="112">
        <v>0</v>
      </c>
      <c r="J28" s="112">
        <v>0</v>
      </c>
      <c r="K28" s="167">
        <f>AVERAGE(C28:J28)</f>
        <v>0</v>
      </c>
      <c r="L28" s="112"/>
      <c r="R28" s="393"/>
      <c r="S28" s="221" t="s">
        <v>589</v>
      </c>
      <c r="T28" s="222">
        <v>1.4E-3</v>
      </c>
      <c r="U28" s="222">
        <v>5.9999999999999995E-4</v>
      </c>
      <c r="V28" s="222">
        <v>1.2999999999999999E-2</v>
      </c>
      <c r="W28" s="222">
        <v>1.8499999999999999E-2</v>
      </c>
      <c r="X28" s="222">
        <v>6.4000000000000003E-3</v>
      </c>
      <c r="Y28" s="222">
        <v>6.0000000000000001E-3</v>
      </c>
      <c r="Z28" s="222">
        <v>4.4999999999999997E-3</v>
      </c>
      <c r="AA28" s="222">
        <v>1.6999999999999999E-3</v>
      </c>
      <c r="AB28" s="222">
        <f>AVERAGE(T28:AA28)</f>
        <v>6.5125000000000001E-3</v>
      </c>
      <c r="AC28" s="253"/>
      <c r="AD28" s="303"/>
      <c r="AE28"/>
      <c r="AF28"/>
      <c r="AG28"/>
      <c r="AH28"/>
      <c r="AI28"/>
      <c r="AJ28"/>
      <c r="AK28"/>
      <c r="AL28"/>
      <c r="AM28"/>
      <c r="AN28"/>
      <c r="AO28"/>
      <c r="AP28"/>
    </row>
    <row r="29" spans="1:42" ht="15" thickBot="1" x14ac:dyDescent="0.35">
      <c r="A29" s="368"/>
      <c r="B29" s="196" t="s">
        <v>583</v>
      </c>
      <c r="C29" s="113">
        <f t="shared" ref="C29:L29" si="23">C28/C27</f>
        <v>0</v>
      </c>
      <c r="D29" s="113">
        <f t="shared" si="23"/>
        <v>0</v>
      </c>
      <c r="E29" s="113">
        <f t="shared" si="23"/>
        <v>0</v>
      </c>
      <c r="F29" s="113">
        <f t="shared" si="23"/>
        <v>0</v>
      </c>
      <c r="G29" s="113">
        <f t="shared" si="23"/>
        <v>0</v>
      </c>
      <c r="H29" s="113">
        <f t="shared" si="23"/>
        <v>0</v>
      </c>
      <c r="I29" s="113">
        <f t="shared" si="23"/>
        <v>0</v>
      </c>
      <c r="J29" s="113">
        <f t="shared" si="23"/>
        <v>0</v>
      </c>
      <c r="K29" s="168">
        <f t="shared" si="23"/>
        <v>0</v>
      </c>
      <c r="L29" s="113" t="e">
        <f t="shared" si="23"/>
        <v>#DIV/0!</v>
      </c>
      <c r="R29" s="394"/>
      <c r="S29" s="223" t="s">
        <v>590</v>
      </c>
      <c r="T29" s="222">
        <v>1.9E-2</v>
      </c>
      <c r="U29" s="222">
        <v>3.0000000000000001E-3</v>
      </c>
      <c r="V29" s="222">
        <v>7.4999999999999997E-3</v>
      </c>
      <c r="W29" s="222">
        <v>7.4999999999999997E-3</v>
      </c>
      <c r="X29" s="222">
        <v>0.01</v>
      </c>
      <c r="Y29" s="222">
        <v>0.01</v>
      </c>
      <c r="Z29" s="222">
        <v>0.01</v>
      </c>
      <c r="AA29" s="222">
        <v>0.01</v>
      </c>
      <c r="AB29" s="222">
        <f>AVERAGE(T29:AA29)</f>
        <v>9.6249999999999999E-3</v>
      </c>
      <c r="AC29" s="253">
        <v>0.01</v>
      </c>
      <c r="AD29" s="303"/>
      <c r="AE29"/>
      <c r="AF29"/>
      <c r="AG29"/>
      <c r="AH29"/>
      <c r="AI29"/>
      <c r="AJ29"/>
      <c r="AK29"/>
      <c r="AL29"/>
      <c r="AM29"/>
      <c r="AN29"/>
      <c r="AO29"/>
      <c r="AP29"/>
    </row>
    <row r="30" spans="1:42" ht="29.4" thickBot="1" x14ac:dyDescent="0.35">
      <c r="A30" s="369"/>
      <c r="B30" s="110" t="s">
        <v>579</v>
      </c>
      <c r="C30" s="111">
        <v>67</v>
      </c>
      <c r="D30" s="112">
        <v>31</v>
      </c>
      <c r="E30" s="112">
        <v>65</v>
      </c>
      <c r="F30" s="112">
        <v>428</v>
      </c>
      <c r="G30" s="112">
        <v>196</v>
      </c>
      <c r="H30" s="112">
        <v>491</v>
      </c>
      <c r="I30" s="112">
        <v>371</v>
      </c>
      <c r="J30" s="112">
        <v>141</v>
      </c>
      <c r="K30" s="167">
        <f>AVERAGE(C30:J30)</f>
        <v>223.75</v>
      </c>
      <c r="L30" s="112"/>
      <c r="R30" s="395" t="s">
        <v>575</v>
      </c>
      <c r="S30" s="264" t="s">
        <v>691</v>
      </c>
      <c r="T30" s="266">
        <v>41.24</v>
      </c>
      <c r="U30" s="266">
        <v>150.88999999999999</v>
      </c>
      <c r="V30" s="266">
        <v>3868.3</v>
      </c>
      <c r="W30" s="266">
        <v>1839.36</v>
      </c>
      <c r="X30" s="266">
        <v>1619</v>
      </c>
      <c r="Y30" s="266">
        <v>865</v>
      </c>
      <c r="Z30" s="266">
        <v>536.86</v>
      </c>
      <c r="AA30" s="266">
        <v>262.41000000000003</v>
      </c>
      <c r="AB30" s="260">
        <f t="shared" ref="AB30:AB31" si="24">AVERAGE(T30:AA30)</f>
        <v>1147.8825000000002</v>
      </c>
      <c r="AC30" s="266"/>
      <c r="AD30" s="305"/>
      <c r="AF30"/>
      <c r="AG30"/>
      <c r="AH30"/>
      <c r="AI30"/>
      <c r="AJ30"/>
      <c r="AK30"/>
      <c r="AL30"/>
      <c r="AM30"/>
      <c r="AN30"/>
      <c r="AO30"/>
      <c r="AP30"/>
    </row>
    <row r="31" spans="1:42" ht="15" thickBot="1" x14ac:dyDescent="0.35">
      <c r="A31" s="370"/>
      <c r="B31" s="196" t="s">
        <v>580</v>
      </c>
      <c r="C31" s="113">
        <f>C30/C27</f>
        <v>0.1111111111111111</v>
      </c>
      <c r="D31" s="113">
        <f t="shared" ref="D31:J31" si="25">D30/D27</f>
        <v>5.2991452991452991E-2</v>
      </c>
      <c r="E31" s="113">
        <f t="shared" si="25"/>
        <v>0.11304347826086956</v>
      </c>
      <c r="F31" s="113">
        <f t="shared" si="25"/>
        <v>0.78388278388278387</v>
      </c>
      <c r="G31" s="113">
        <f t="shared" si="25"/>
        <v>0.24347826086956523</v>
      </c>
      <c r="H31" s="113">
        <f t="shared" si="25"/>
        <v>0.65554072096128169</v>
      </c>
      <c r="I31" s="113">
        <f t="shared" si="25"/>
        <v>0.76337448559670784</v>
      </c>
      <c r="J31" s="113">
        <f t="shared" si="25"/>
        <v>0.21559633027522937</v>
      </c>
      <c r="K31" s="168">
        <f>K30/K27</f>
        <v>0.35778532880271835</v>
      </c>
      <c r="L31" s="113" t="e">
        <f t="shared" ref="L31" si="26">L30/L27</f>
        <v>#DIV/0!</v>
      </c>
      <c r="R31" s="396"/>
      <c r="S31" s="264" t="s">
        <v>692</v>
      </c>
      <c r="T31" s="285">
        <v>0.38522751778845515</v>
      </c>
      <c r="U31" s="285">
        <v>4.2317740652535933</v>
      </c>
      <c r="V31" s="285">
        <f>(T31+U31+X31+Y31+Z31+W31)*V30/(T30+U30+X30+Y30+Z30+W30)</f>
        <v>30.11047140908321</v>
      </c>
      <c r="W31" s="283">
        <v>4.82</v>
      </c>
      <c r="X31" s="283">
        <v>10.59</v>
      </c>
      <c r="Y31" s="283">
        <v>9</v>
      </c>
      <c r="Z31" s="283">
        <v>10.3</v>
      </c>
      <c r="AA31" s="283">
        <v>3.57</v>
      </c>
      <c r="AB31" s="287">
        <f t="shared" si="24"/>
        <v>9.1259341240156555</v>
      </c>
      <c r="AC31" s="283"/>
      <c r="AD31" s="306"/>
      <c r="AF31"/>
      <c r="AG31"/>
      <c r="AH31"/>
      <c r="AI31"/>
      <c r="AJ31"/>
      <c r="AK31"/>
      <c r="AL31"/>
      <c r="AM31"/>
      <c r="AN31"/>
      <c r="AO31"/>
      <c r="AP31"/>
    </row>
    <row r="32" spans="1:42" ht="15" thickBot="1" x14ac:dyDescent="0.35">
      <c r="A32" s="343" t="s">
        <v>40</v>
      </c>
      <c r="B32" s="197" t="s">
        <v>573</v>
      </c>
      <c r="C32" s="114">
        <v>462</v>
      </c>
      <c r="D32" s="115">
        <v>874</v>
      </c>
      <c r="E32" s="115">
        <v>748</v>
      </c>
      <c r="F32" s="115">
        <v>424</v>
      </c>
      <c r="G32" s="115">
        <v>610</v>
      </c>
      <c r="H32" s="115">
        <v>716</v>
      </c>
      <c r="I32" s="115">
        <v>516</v>
      </c>
      <c r="J32" s="115">
        <v>833</v>
      </c>
      <c r="K32" s="169">
        <f>AVERAGE(C32:J32)</f>
        <v>647.875</v>
      </c>
      <c r="L32" s="115"/>
      <c r="R32" s="396"/>
      <c r="S32" s="264" t="s">
        <v>589</v>
      </c>
      <c r="T32" s="265">
        <v>1.5E-3</v>
      </c>
      <c r="U32" s="265">
        <v>1.1999999999999999E-3</v>
      </c>
      <c r="V32" s="265">
        <v>2.1000000000000001E-2</v>
      </c>
      <c r="W32" s="265">
        <v>7.1000000000000004E-3</v>
      </c>
      <c r="X32" s="265">
        <v>9.4000000000000004E-3</v>
      </c>
      <c r="Y32" s="265">
        <v>8.3000000000000001E-3</v>
      </c>
      <c r="Z32" s="265">
        <v>8.3000000000000001E-3</v>
      </c>
      <c r="AA32" s="265">
        <v>1.2999999999999999E-3</v>
      </c>
      <c r="AB32" s="265">
        <f>AVERAGE(T32:AA32)</f>
        <v>7.2625000000000007E-3</v>
      </c>
      <c r="AC32" s="266"/>
      <c r="AD32" s="305"/>
    </row>
    <row r="33" spans="1:42" ht="29.4" thickBot="1" x14ac:dyDescent="0.35">
      <c r="A33" s="344"/>
      <c r="B33" s="116" t="s">
        <v>582</v>
      </c>
      <c r="C33" s="117">
        <v>0</v>
      </c>
      <c r="D33" s="118">
        <v>0</v>
      </c>
      <c r="E33" s="118">
        <v>3</v>
      </c>
      <c r="F33" s="118">
        <v>3</v>
      </c>
      <c r="G33" s="118">
        <v>1</v>
      </c>
      <c r="H33" s="118">
        <v>3</v>
      </c>
      <c r="I33" s="118">
        <v>1</v>
      </c>
      <c r="J33" s="118">
        <v>0</v>
      </c>
      <c r="K33" s="169">
        <f>AVERAGE(C33:J33)</f>
        <v>1.375</v>
      </c>
      <c r="L33" s="118"/>
      <c r="R33" s="397"/>
      <c r="S33" s="267" t="s">
        <v>590</v>
      </c>
      <c r="T33" s="265">
        <v>1.9E-2</v>
      </c>
      <c r="U33" s="265">
        <v>3.0000000000000001E-3</v>
      </c>
      <c r="V33" s="265">
        <v>7.4999999999999997E-3</v>
      </c>
      <c r="W33" s="265">
        <v>7.4999999999999997E-3</v>
      </c>
      <c r="X33" s="265">
        <v>0.01</v>
      </c>
      <c r="Y33" s="265">
        <v>0.01</v>
      </c>
      <c r="Z33" s="265">
        <v>0.01</v>
      </c>
      <c r="AA33" s="265">
        <v>0.01</v>
      </c>
      <c r="AB33" s="265">
        <f>AVERAGE(T33:AA33)</f>
        <v>9.6249999999999999E-3</v>
      </c>
      <c r="AC33" s="266">
        <v>0.01</v>
      </c>
      <c r="AD33" s="305"/>
      <c r="AE33" s="213"/>
      <c r="AF33"/>
      <c r="AG33"/>
      <c r="AH33"/>
      <c r="AI33"/>
      <c r="AJ33"/>
      <c r="AK33"/>
      <c r="AL33"/>
      <c r="AM33"/>
      <c r="AN33"/>
      <c r="AO33"/>
      <c r="AP33"/>
    </row>
    <row r="34" spans="1:42" ht="15" thickBot="1" x14ac:dyDescent="0.35">
      <c r="A34" s="344"/>
      <c r="B34" s="198" t="s">
        <v>583</v>
      </c>
      <c r="C34" s="119">
        <f t="shared" ref="C34:L34" si="27">C33/C32</f>
        <v>0</v>
      </c>
      <c r="D34" s="119">
        <f t="shared" si="27"/>
        <v>0</v>
      </c>
      <c r="E34" s="119">
        <f t="shared" si="27"/>
        <v>4.0106951871657758E-3</v>
      </c>
      <c r="F34" s="119">
        <f t="shared" si="27"/>
        <v>7.0754716981132077E-3</v>
      </c>
      <c r="G34" s="119">
        <f t="shared" si="27"/>
        <v>1.639344262295082E-3</v>
      </c>
      <c r="H34" s="119">
        <f t="shared" si="27"/>
        <v>4.1899441340782122E-3</v>
      </c>
      <c r="I34" s="119">
        <f t="shared" si="27"/>
        <v>1.937984496124031E-3</v>
      </c>
      <c r="J34" s="119">
        <f t="shared" si="27"/>
        <v>0</v>
      </c>
      <c r="K34" s="170">
        <f t="shared" si="27"/>
        <v>2.1223229789697085E-3</v>
      </c>
      <c r="L34" s="119" t="e">
        <f t="shared" si="27"/>
        <v>#DIV/0!</v>
      </c>
      <c r="R34" s="389" t="s">
        <v>43</v>
      </c>
      <c r="S34" s="218" t="s">
        <v>691</v>
      </c>
      <c r="T34" s="257">
        <v>19.5</v>
      </c>
      <c r="U34" s="257">
        <v>289.23</v>
      </c>
      <c r="V34" s="257">
        <v>3333.4</v>
      </c>
      <c r="W34" s="257">
        <v>2831</v>
      </c>
      <c r="X34" s="257">
        <v>1618</v>
      </c>
      <c r="Y34" s="257">
        <f>100*3.5417</f>
        <v>354.17</v>
      </c>
      <c r="Z34" s="257">
        <f>100*3.6421</f>
        <v>364.21000000000004</v>
      </c>
      <c r="AA34" s="257">
        <f>100*2.8557</f>
        <v>285.57</v>
      </c>
      <c r="AB34" s="260">
        <f t="shared" ref="AB34:AB35" si="28">AVERAGE(T34:AA34)</f>
        <v>1136.8849999999998</v>
      </c>
      <c r="AC34" s="257"/>
      <c r="AD34" s="307"/>
      <c r="AE34" s="213"/>
      <c r="AF34"/>
      <c r="AG34"/>
      <c r="AH34"/>
      <c r="AI34"/>
      <c r="AJ34"/>
      <c r="AK34"/>
      <c r="AL34"/>
      <c r="AM34"/>
      <c r="AN34"/>
      <c r="AO34"/>
      <c r="AP34"/>
    </row>
    <row r="35" spans="1:42" ht="29.4" thickBot="1" x14ac:dyDescent="0.35">
      <c r="A35" s="345"/>
      <c r="B35" s="116" t="s">
        <v>579</v>
      </c>
      <c r="C35" s="117">
        <v>70</v>
      </c>
      <c r="D35" s="118">
        <v>49</v>
      </c>
      <c r="E35" s="118">
        <v>197</v>
      </c>
      <c r="F35" s="118">
        <v>97</v>
      </c>
      <c r="G35" s="118">
        <v>135</v>
      </c>
      <c r="H35" s="118">
        <v>524</v>
      </c>
      <c r="I35" s="118">
        <v>287</v>
      </c>
      <c r="J35" s="118">
        <v>174</v>
      </c>
      <c r="K35" s="169">
        <f>AVERAGE(C35:J35)</f>
        <v>191.625</v>
      </c>
      <c r="L35" s="118"/>
      <c r="R35" s="390"/>
      <c r="S35" s="218" t="s">
        <v>692</v>
      </c>
      <c r="T35" s="285">
        <v>0.38522751778845515</v>
      </c>
      <c r="U35" s="285">
        <v>4.2317740652535933</v>
      </c>
      <c r="V35" s="285">
        <f>(T35+U35+X35+Y35+Z35+W35)*V34/(T34+U34+X34+Y34+Z34+W34)</f>
        <v>35.571582944263781</v>
      </c>
      <c r="W35" s="282">
        <v>26.36</v>
      </c>
      <c r="X35" s="282">
        <v>10.67</v>
      </c>
      <c r="Y35" s="282">
        <v>7.79</v>
      </c>
      <c r="Z35" s="282">
        <f>100*0.09</f>
        <v>9</v>
      </c>
      <c r="AA35" s="282">
        <f>100*0.0445</f>
        <v>4.45</v>
      </c>
      <c r="AB35" s="287">
        <f t="shared" si="28"/>
        <v>12.307323065913229</v>
      </c>
      <c r="AC35" s="282"/>
      <c r="AD35" s="308"/>
      <c r="AE35"/>
      <c r="AF35"/>
      <c r="AG35"/>
      <c r="AH35"/>
      <c r="AI35"/>
      <c r="AJ35"/>
      <c r="AK35"/>
      <c r="AL35"/>
      <c r="AM35"/>
      <c r="AN35"/>
      <c r="AO35"/>
      <c r="AP35"/>
    </row>
    <row r="36" spans="1:42" ht="15" thickBot="1" x14ac:dyDescent="0.35">
      <c r="A36" s="346"/>
      <c r="B36" s="198" t="s">
        <v>580</v>
      </c>
      <c r="C36" s="119">
        <f>C35/C32</f>
        <v>0.15151515151515152</v>
      </c>
      <c r="D36" s="119">
        <f t="shared" ref="D36:J36" si="29">D35/D32</f>
        <v>5.6064073226544622E-2</v>
      </c>
      <c r="E36" s="119">
        <f t="shared" si="29"/>
        <v>0.26336898395721925</v>
      </c>
      <c r="F36" s="119">
        <f t="shared" si="29"/>
        <v>0.22877358490566038</v>
      </c>
      <c r="G36" s="119">
        <f t="shared" si="29"/>
        <v>0.22131147540983606</v>
      </c>
      <c r="H36" s="119">
        <f t="shared" si="29"/>
        <v>0.73184357541899436</v>
      </c>
      <c r="I36" s="119">
        <f t="shared" si="29"/>
        <v>0.55620155038759689</v>
      </c>
      <c r="J36" s="119">
        <f t="shared" si="29"/>
        <v>0.20888355342136855</v>
      </c>
      <c r="K36" s="170">
        <f>K35/K32</f>
        <v>0.29577464788732394</v>
      </c>
      <c r="L36" s="119" t="e">
        <f t="shared" ref="L36" si="30">L35/L32</f>
        <v>#DIV/0!</v>
      </c>
      <c r="R36" s="390"/>
      <c r="S36" s="218" t="s">
        <v>589</v>
      </c>
      <c r="T36" s="219">
        <v>5.0000000000000001E-4</v>
      </c>
      <c r="U36" s="219">
        <v>1.2999999999999999E-3</v>
      </c>
      <c r="V36" s="219">
        <v>8.0000000000000002E-3</v>
      </c>
      <c r="W36" s="219">
        <v>2.3900000000000001E-2</v>
      </c>
      <c r="X36" s="219">
        <v>8.3999999999999995E-3</v>
      </c>
      <c r="Y36" s="219">
        <v>3.2000000000000002E-3</v>
      </c>
      <c r="Z36" s="219">
        <v>3.3E-3</v>
      </c>
      <c r="AA36" s="219">
        <v>1.5E-3</v>
      </c>
      <c r="AB36" s="219">
        <f>AVERAGE(T36:AA36)</f>
        <v>6.2624999999999998E-3</v>
      </c>
      <c r="AC36" s="219"/>
      <c r="AD36" s="309"/>
      <c r="AF36"/>
      <c r="AG36"/>
      <c r="AH36"/>
      <c r="AI36"/>
      <c r="AJ36"/>
      <c r="AK36"/>
      <c r="AL36"/>
      <c r="AM36"/>
      <c r="AN36"/>
      <c r="AO36"/>
      <c r="AP36"/>
    </row>
    <row r="37" spans="1:42" ht="15" thickBot="1" x14ac:dyDescent="0.35">
      <c r="A37" s="347" t="s">
        <v>575</v>
      </c>
      <c r="B37" s="199" t="s">
        <v>573</v>
      </c>
      <c r="C37" s="120">
        <v>378</v>
      </c>
      <c r="D37" s="121">
        <v>603</v>
      </c>
      <c r="E37" s="121">
        <v>745</v>
      </c>
      <c r="F37" s="121">
        <v>723</v>
      </c>
      <c r="G37" s="121">
        <v>639</v>
      </c>
      <c r="H37" s="121">
        <v>510</v>
      </c>
      <c r="I37" s="121">
        <v>363</v>
      </c>
      <c r="J37" s="121">
        <v>841</v>
      </c>
      <c r="K37" s="171">
        <f>AVERAGE(C37:J37)</f>
        <v>600.25</v>
      </c>
      <c r="L37" s="121"/>
      <c r="R37" s="391"/>
      <c r="S37" s="220" t="s">
        <v>590</v>
      </c>
      <c r="T37" s="219">
        <v>1.9E-2</v>
      </c>
      <c r="U37" s="219">
        <v>3.0000000000000001E-3</v>
      </c>
      <c r="V37" s="219">
        <v>7.4999999999999997E-3</v>
      </c>
      <c r="W37" s="219">
        <v>7.4999999999999997E-3</v>
      </c>
      <c r="X37" s="219">
        <v>0.01</v>
      </c>
      <c r="Y37" s="219">
        <v>0.01</v>
      </c>
      <c r="Z37" s="219">
        <v>0.01</v>
      </c>
      <c r="AA37" s="219">
        <v>0.01</v>
      </c>
      <c r="AB37" s="219">
        <f>AVERAGE(T37:AA37)</f>
        <v>9.6249999999999999E-3</v>
      </c>
      <c r="AC37" s="219">
        <v>0.01</v>
      </c>
      <c r="AD37" s="309"/>
    </row>
    <row r="38" spans="1:42" ht="29.4" thickBot="1" x14ac:dyDescent="0.35">
      <c r="A38" s="348"/>
      <c r="B38" s="122" t="s">
        <v>582</v>
      </c>
      <c r="C38" s="123">
        <v>0</v>
      </c>
      <c r="D38" s="124">
        <v>0</v>
      </c>
      <c r="E38" s="124">
        <v>0</v>
      </c>
      <c r="F38" s="124">
        <v>0</v>
      </c>
      <c r="G38" s="124">
        <v>3</v>
      </c>
      <c r="H38" s="124">
        <v>1</v>
      </c>
      <c r="I38" s="124">
        <v>2</v>
      </c>
      <c r="J38" s="124">
        <v>0</v>
      </c>
      <c r="K38" s="171">
        <f>AVERAGE(C38:J38)</f>
        <v>0.75</v>
      </c>
      <c r="L38" s="124"/>
      <c r="R38" s="386" t="s">
        <v>44</v>
      </c>
      <c r="S38" s="203" t="s">
        <v>691</v>
      </c>
      <c r="T38" s="261">
        <v>13</v>
      </c>
      <c r="U38" s="261">
        <v>317.97000000000003</v>
      </c>
      <c r="V38" s="261">
        <v>2138.4</v>
      </c>
      <c r="W38" s="261">
        <v>1276</v>
      </c>
      <c r="X38" s="261">
        <v>2123</v>
      </c>
      <c r="Y38" s="261">
        <v>142.08000000000001</v>
      </c>
      <c r="Z38" s="261">
        <v>320.68</v>
      </c>
      <c r="AA38" s="261">
        <v>317.01</v>
      </c>
      <c r="AB38" s="260">
        <f t="shared" ref="AB38:AB39" si="31">AVERAGE(T38:AA38)</f>
        <v>831.01750000000004</v>
      </c>
      <c r="AC38" s="261"/>
      <c r="AD38" s="310"/>
      <c r="AE38"/>
      <c r="AF38"/>
      <c r="AG38"/>
      <c r="AH38"/>
      <c r="AI38"/>
      <c r="AJ38"/>
      <c r="AK38"/>
      <c r="AL38"/>
      <c r="AM38"/>
      <c r="AN38"/>
      <c r="AO38"/>
      <c r="AP38"/>
    </row>
    <row r="39" spans="1:42" ht="15" thickBot="1" x14ac:dyDescent="0.35">
      <c r="A39" s="348"/>
      <c r="B39" s="200" t="s">
        <v>583</v>
      </c>
      <c r="C39" s="125">
        <f t="shared" ref="C39:L39" si="32">C38/C37</f>
        <v>0</v>
      </c>
      <c r="D39" s="125">
        <f t="shared" si="32"/>
        <v>0</v>
      </c>
      <c r="E39" s="125">
        <f t="shared" si="32"/>
        <v>0</v>
      </c>
      <c r="F39" s="125">
        <f t="shared" si="32"/>
        <v>0</v>
      </c>
      <c r="G39" s="125">
        <f t="shared" si="32"/>
        <v>4.6948356807511738E-3</v>
      </c>
      <c r="H39" s="125">
        <f t="shared" si="32"/>
        <v>1.9607843137254902E-3</v>
      </c>
      <c r="I39" s="125">
        <f t="shared" si="32"/>
        <v>5.5096418732782371E-3</v>
      </c>
      <c r="J39" s="125">
        <f t="shared" si="32"/>
        <v>0</v>
      </c>
      <c r="K39" s="172">
        <f t="shared" si="32"/>
        <v>1.2494793835901709E-3</v>
      </c>
      <c r="L39" s="125" t="e">
        <f t="shared" si="32"/>
        <v>#DIV/0!</v>
      </c>
      <c r="R39" s="387"/>
      <c r="S39" s="203" t="s">
        <v>692</v>
      </c>
      <c r="T39" s="285">
        <v>0.38522751778845515</v>
      </c>
      <c r="U39" s="285">
        <v>4.2317740652535933</v>
      </c>
      <c r="V39" s="285">
        <f>(T39+U39+X39+Y39+Z39+W39)*V38/(T38+U38+X38+Y38+Z38+W38)</f>
        <v>16.895621751264006</v>
      </c>
      <c r="W39" s="281">
        <v>3.83</v>
      </c>
      <c r="X39" s="281">
        <v>7.99</v>
      </c>
      <c r="Y39" s="281">
        <v>9.16</v>
      </c>
      <c r="Z39" s="281">
        <v>7.53</v>
      </c>
      <c r="AA39" s="281">
        <v>4.9800000000000004</v>
      </c>
      <c r="AB39" s="287">
        <f t="shared" si="31"/>
        <v>6.8753279167882582</v>
      </c>
      <c r="AC39" s="281"/>
      <c r="AD39" s="311"/>
      <c r="AE39"/>
      <c r="AF39"/>
      <c r="AG39"/>
      <c r="AH39"/>
      <c r="AI39"/>
      <c r="AJ39"/>
      <c r="AK39"/>
      <c r="AL39"/>
      <c r="AM39"/>
      <c r="AN39"/>
      <c r="AO39"/>
      <c r="AP39"/>
    </row>
    <row r="40" spans="1:42" ht="29.4" thickBot="1" x14ac:dyDescent="0.35">
      <c r="A40" s="349"/>
      <c r="B40" s="122" t="s">
        <v>579</v>
      </c>
      <c r="C40" s="123">
        <v>47</v>
      </c>
      <c r="D40" s="124">
        <v>67</v>
      </c>
      <c r="E40" s="124">
        <v>264</v>
      </c>
      <c r="F40" s="124">
        <v>252</v>
      </c>
      <c r="G40" s="124">
        <v>162</v>
      </c>
      <c r="H40" s="124">
        <v>425</v>
      </c>
      <c r="I40" s="124">
        <v>373</v>
      </c>
      <c r="J40" s="124">
        <v>144</v>
      </c>
      <c r="K40" s="171">
        <f>AVERAGE(C40:J40)</f>
        <v>216.75</v>
      </c>
      <c r="L40" s="124"/>
      <c r="R40" s="387"/>
      <c r="S40" s="203" t="s">
        <v>589</v>
      </c>
      <c r="T40" s="216">
        <v>1.1999999999999999E-3</v>
      </c>
      <c r="U40" s="216">
        <v>1.6000000000000001E-3</v>
      </c>
      <c r="V40" s="216">
        <v>6.3E-3</v>
      </c>
      <c r="W40" s="216">
        <v>6.7999999999999996E-3</v>
      </c>
      <c r="X40" s="216">
        <v>8.0999999999999996E-3</v>
      </c>
      <c r="Y40" s="216">
        <v>3.0000000000000001E-3</v>
      </c>
      <c r="Z40" s="216">
        <v>3.8999999999999998E-3</v>
      </c>
      <c r="AA40" s="216">
        <v>1.9E-3</v>
      </c>
      <c r="AB40" s="216">
        <f>AVERAGE(T40:AA40)</f>
        <v>4.1000000000000003E-3</v>
      </c>
      <c r="AC40" s="261"/>
      <c r="AD40" s="310"/>
      <c r="AF40"/>
      <c r="AG40"/>
      <c r="AH40"/>
      <c r="AI40"/>
      <c r="AJ40"/>
      <c r="AK40"/>
      <c r="AL40"/>
      <c r="AM40"/>
      <c r="AN40"/>
      <c r="AO40"/>
      <c r="AP40"/>
    </row>
    <row r="41" spans="1:42" ht="15" thickBot="1" x14ac:dyDescent="0.35">
      <c r="A41" s="350"/>
      <c r="B41" s="200" t="s">
        <v>580</v>
      </c>
      <c r="C41" s="125">
        <f>C40/C37</f>
        <v>0.12433862433862433</v>
      </c>
      <c r="D41" s="125">
        <f t="shared" ref="D41:J41" si="33">D40/D37</f>
        <v>0.1111111111111111</v>
      </c>
      <c r="E41" s="125">
        <f t="shared" si="33"/>
        <v>0.35436241610738256</v>
      </c>
      <c r="F41" s="125">
        <f t="shared" si="33"/>
        <v>0.34854771784232363</v>
      </c>
      <c r="G41" s="125">
        <f t="shared" si="33"/>
        <v>0.25352112676056338</v>
      </c>
      <c r="H41" s="125">
        <f t="shared" si="33"/>
        <v>0.83333333333333337</v>
      </c>
      <c r="I41" s="125">
        <f t="shared" si="33"/>
        <v>1.0275482093663912</v>
      </c>
      <c r="J41" s="125">
        <f t="shared" si="33"/>
        <v>0.17122473246135553</v>
      </c>
      <c r="K41" s="172">
        <f>K40/K37</f>
        <v>0.36109954185755933</v>
      </c>
      <c r="L41" s="125" t="e">
        <f t="shared" ref="L41" si="34">L40/L37</f>
        <v>#DIV/0!</v>
      </c>
      <c r="R41" s="388"/>
      <c r="S41" s="134" t="s">
        <v>590</v>
      </c>
      <c r="T41" s="216">
        <v>1.9E-2</v>
      </c>
      <c r="U41" s="216">
        <v>3.0000000000000001E-3</v>
      </c>
      <c r="V41" s="216">
        <v>7.4999999999999997E-3</v>
      </c>
      <c r="W41" s="216">
        <v>7.4999999999999997E-3</v>
      </c>
      <c r="X41" s="216">
        <v>0.01</v>
      </c>
      <c r="Y41" s="216">
        <v>0.01</v>
      </c>
      <c r="Z41" s="216">
        <v>0.01</v>
      </c>
      <c r="AA41" s="216">
        <v>0.01</v>
      </c>
      <c r="AB41" s="216">
        <f>AVERAGE(T41:AA41)</f>
        <v>9.6249999999999999E-3</v>
      </c>
      <c r="AC41" s="261">
        <v>0.01</v>
      </c>
      <c r="AD41" s="310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 ht="15" thickBot="1" x14ac:dyDescent="0.35">
      <c r="A42" s="351" t="s">
        <v>43</v>
      </c>
      <c r="B42" s="201" t="s">
        <v>573</v>
      </c>
      <c r="C42" s="126">
        <v>580</v>
      </c>
      <c r="D42" s="127">
        <v>1157</v>
      </c>
      <c r="E42" s="127">
        <v>1241</v>
      </c>
      <c r="F42" s="127">
        <v>636</v>
      </c>
      <c r="G42" s="127">
        <v>587</v>
      </c>
      <c r="H42" s="127">
        <v>536</v>
      </c>
      <c r="I42" s="127">
        <v>759</v>
      </c>
      <c r="J42" s="127">
        <v>850</v>
      </c>
      <c r="K42" s="173">
        <f>AVERAGE(C42:J42)</f>
        <v>793.25</v>
      </c>
      <c r="L42" s="127"/>
      <c r="R42" s="383" t="s">
        <v>50</v>
      </c>
      <c r="S42" s="227" t="s">
        <v>691</v>
      </c>
      <c r="T42" s="255">
        <v>26</v>
      </c>
      <c r="U42" s="255">
        <v>388.8</v>
      </c>
      <c r="V42" s="255">
        <v>2135.65</v>
      </c>
      <c r="W42" s="255">
        <v>792</v>
      </c>
      <c r="X42" s="255">
        <v>1715</v>
      </c>
      <c r="Y42" s="255">
        <v>412.26</v>
      </c>
      <c r="Z42" s="255">
        <v>263.43</v>
      </c>
      <c r="AA42" s="255">
        <v>538.91</v>
      </c>
      <c r="AB42" s="260">
        <f t="shared" ref="AB42:AB43" si="35">AVERAGE(T42:AA42)</f>
        <v>784.00625000000014</v>
      </c>
      <c r="AC42" s="255"/>
      <c r="AD42" s="299"/>
    </row>
    <row r="43" spans="1:42" ht="29.4" thickBot="1" x14ac:dyDescent="0.35">
      <c r="A43" s="352"/>
      <c r="B43" s="128" t="s">
        <v>582</v>
      </c>
      <c r="C43" s="129">
        <v>0</v>
      </c>
      <c r="D43" s="130">
        <v>0</v>
      </c>
      <c r="E43" s="130">
        <v>0</v>
      </c>
      <c r="F43" s="130">
        <v>0</v>
      </c>
      <c r="G43" s="130">
        <v>4</v>
      </c>
      <c r="H43" s="130">
        <v>1</v>
      </c>
      <c r="I43" s="130">
        <v>1</v>
      </c>
      <c r="J43" s="130">
        <v>0</v>
      </c>
      <c r="K43" s="173">
        <f>AVERAGE(C43:J43)</f>
        <v>0.75</v>
      </c>
      <c r="L43" s="130"/>
      <c r="R43" s="384"/>
      <c r="S43" s="227" t="s">
        <v>692</v>
      </c>
      <c r="T43" s="285">
        <v>0.38522751778845515</v>
      </c>
      <c r="U43" s="285">
        <v>4.2317740652535933</v>
      </c>
      <c r="V43" s="285">
        <f>(T43+U43+X43+Y43+Z43+W43)*V42/(T42+U42+X42+Y42+Z42+W42)</f>
        <v>25.222409216098931</v>
      </c>
      <c r="W43" s="278">
        <v>12.03</v>
      </c>
      <c r="X43" s="278">
        <v>9.57</v>
      </c>
      <c r="Y43" s="278">
        <v>9.5</v>
      </c>
      <c r="Z43" s="278">
        <v>6.77</v>
      </c>
      <c r="AA43" s="278">
        <v>3.72</v>
      </c>
      <c r="AB43" s="287">
        <f t="shared" si="35"/>
        <v>8.9286763498926227</v>
      </c>
      <c r="AC43" s="278"/>
      <c r="AD43" s="300"/>
      <c r="AE43"/>
      <c r="AF43"/>
      <c r="AG43"/>
      <c r="AH43"/>
      <c r="AI43"/>
      <c r="AJ43"/>
      <c r="AK43"/>
      <c r="AL43"/>
      <c r="AM43"/>
      <c r="AN43"/>
      <c r="AO43"/>
      <c r="AP43"/>
    </row>
    <row r="44" spans="1:42" ht="15" thickBot="1" x14ac:dyDescent="0.35">
      <c r="A44" s="352"/>
      <c r="B44" s="202" t="s">
        <v>583</v>
      </c>
      <c r="C44" s="131">
        <f t="shared" ref="C44:L44" si="36">C43/C42</f>
        <v>0</v>
      </c>
      <c r="D44" s="131">
        <f t="shared" si="36"/>
        <v>0</v>
      </c>
      <c r="E44" s="131">
        <f t="shared" si="36"/>
        <v>0</v>
      </c>
      <c r="F44" s="131">
        <f t="shared" si="36"/>
        <v>0</v>
      </c>
      <c r="G44" s="131">
        <f t="shared" si="36"/>
        <v>6.8143100511073255E-3</v>
      </c>
      <c r="H44" s="131">
        <f t="shared" si="36"/>
        <v>1.8656716417910447E-3</v>
      </c>
      <c r="I44" s="131">
        <f t="shared" si="36"/>
        <v>1.3175230566534915E-3</v>
      </c>
      <c r="J44" s="131">
        <f t="shared" si="36"/>
        <v>0</v>
      </c>
      <c r="K44" s="174">
        <f t="shared" si="36"/>
        <v>9.4547746612039078E-4</v>
      </c>
      <c r="L44" s="131" t="e">
        <f t="shared" si="36"/>
        <v>#DIV/0!</v>
      </c>
      <c r="R44" s="384"/>
      <c r="S44" s="227" t="s">
        <v>589</v>
      </c>
      <c r="T44" s="228">
        <v>1.8E-3</v>
      </c>
      <c r="U44" s="228">
        <v>2.2000000000000001E-3</v>
      </c>
      <c r="V44" s="228">
        <v>8.3000000000000001E-3</v>
      </c>
      <c r="W44" s="228">
        <v>1.06E-2</v>
      </c>
      <c r="X44" s="228">
        <v>9.1000000000000004E-3</v>
      </c>
      <c r="Y44" s="228">
        <v>4.7999999999999996E-3</v>
      </c>
      <c r="Z44" s="228">
        <v>2.2000000000000001E-3</v>
      </c>
      <c r="AA44" s="228">
        <v>2.5000000000000001E-3</v>
      </c>
      <c r="AB44" s="228">
        <f>AVERAGE(T44:AA44)</f>
        <v>5.1875000000000003E-3</v>
      </c>
      <c r="AC44" s="255"/>
      <c r="AD44" s="299"/>
      <c r="AE44"/>
      <c r="AF44"/>
      <c r="AG44"/>
      <c r="AH44"/>
      <c r="AI44"/>
      <c r="AJ44"/>
      <c r="AK44"/>
      <c r="AL44"/>
      <c r="AM44"/>
      <c r="AN44"/>
      <c r="AO44"/>
      <c r="AP44"/>
    </row>
    <row r="45" spans="1:42" ht="29.4" thickBot="1" x14ac:dyDescent="0.35">
      <c r="A45" s="353"/>
      <c r="B45" s="128" t="s">
        <v>579</v>
      </c>
      <c r="C45" s="129">
        <v>32</v>
      </c>
      <c r="D45" s="130">
        <v>94</v>
      </c>
      <c r="E45" s="130">
        <v>154</v>
      </c>
      <c r="F45" s="130">
        <v>423</v>
      </c>
      <c r="G45" s="130">
        <v>148</v>
      </c>
      <c r="H45" s="130">
        <v>206</v>
      </c>
      <c r="I45" s="130">
        <v>186</v>
      </c>
      <c r="J45" s="130">
        <v>165</v>
      </c>
      <c r="K45" s="173">
        <f>AVERAGE(C45:J45)</f>
        <v>176</v>
      </c>
      <c r="L45" s="130"/>
      <c r="R45" s="385"/>
      <c r="S45" s="229" t="s">
        <v>590</v>
      </c>
      <c r="T45" s="228">
        <v>1.9E-2</v>
      </c>
      <c r="U45" s="228">
        <v>3.0000000000000001E-3</v>
      </c>
      <c r="V45" s="228">
        <v>7.4999999999999997E-3</v>
      </c>
      <c r="W45" s="228">
        <v>7.4999999999999997E-3</v>
      </c>
      <c r="X45" s="228">
        <v>0.01</v>
      </c>
      <c r="Y45" s="228">
        <v>0.01</v>
      </c>
      <c r="Z45" s="228">
        <v>0.01</v>
      </c>
      <c r="AA45" s="228">
        <v>0.01</v>
      </c>
      <c r="AB45" s="228">
        <f>AVERAGE(T45:AA45)</f>
        <v>9.6249999999999999E-3</v>
      </c>
      <c r="AC45" s="255">
        <v>0.01</v>
      </c>
      <c r="AD45" s="299"/>
      <c r="AE45"/>
      <c r="AF45"/>
      <c r="AG45"/>
      <c r="AH45"/>
      <c r="AI45"/>
      <c r="AJ45"/>
      <c r="AK45"/>
      <c r="AL45"/>
      <c r="AM45"/>
      <c r="AN45"/>
      <c r="AO45"/>
      <c r="AP45"/>
    </row>
    <row r="46" spans="1:42" ht="15" thickBot="1" x14ac:dyDescent="0.35">
      <c r="A46" s="354"/>
      <c r="B46" s="202" t="s">
        <v>580</v>
      </c>
      <c r="C46" s="131">
        <f t="shared" ref="C46:K46" si="37">C45/C42</f>
        <v>5.5172413793103448E-2</v>
      </c>
      <c r="D46" s="131">
        <f t="shared" si="37"/>
        <v>8.1244598098530685E-2</v>
      </c>
      <c r="E46" s="131">
        <f t="shared" si="37"/>
        <v>0.12409347300564061</v>
      </c>
      <c r="F46" s="131">
        <f t="shared" si="37"/>
        <v>0.66509433962264153</v>
      </c>
      <c r="G46" s="131">
        <f t="shared" si="37"/>
        <v>0.25212947189097101</v>
      </c>
      <c r="H46" s="131">
        <f t="shared" si="37"/>
        <v>0.38432835820895522</v>
      </c>
      <c r="I46" s="131">
        <f t="shared" si="37"/>
        <v>0.24505928853754941</v>
      </c>
      <c r="J46" s="131">
        <f t="shared" si="37"/>
        <v>0.19411764705882353</v>
      </c>
      <c r="K46" s="174">
        <f t="shared" si="37"/>
        <v>0.22187204538291838</v>
      </c>
      <c r="L46" s="131" t="e">
        <f t="shared" ref="L46" si="38">L45/L42</f>
        <v>#DIV/0!</v>
      </c>
      <c r="R46" s="380" t="s">
        <v>576</v>
      </c>
      <c r="S46" s="207" t="s">
        <v>691</v>
      </c>
      <c r="T46" s="263">
        <v>26.27</v>
      </c>
      <c r="U46" s="263">
        <v>2146.06</v>
      </c>
      <c r="V46" s="263">
        <v>1507</v>
      </c>
      <c r="W46" s="263">
        <v>477</v>
      </c>
      <c r="X46" s="263">
        <v>551</v>
      </c>
      <c r="Y46" s="263">
        <v>131</v>
      </c>
      <c r="Z46" s="263">
        <v>168.5</v>
      </c>
      <c r="AA46" s="263">
        <v>453.5</v>
      </c>
      <c r="AB46" s="260">
        <f t="shared" ref="AB46:AB47" si="39">AVERAGE(T46:AA46)</f>
        <v>682.54124999999999</v>
      </c>
      <c r="AC46" s="263"/>
      <c r="AD46" s="312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ht="15" thickBot="1" x14ac:dyDescent="0.35">
      <c r="A47" s="355" t="s">
        <v>44</v>
      </c>
      <c r="B47" s="203" t="s">
        <v>573</v>
      </c>
      <c r="C47" s="132">
        <v>667</v>
      </c>
      <c r="D47" s="133">
        <v>704</v>
      </c>
      <c r="E47" s="133">
        <v>994</v>
      </c>
      <c r="F47" s="133">
        <v>509</v>
      </c>
      <c r="G47" s="133">
        <v>604</v>
      </c>
      <c r="H47" s="133">
        <v>560</v>
      </c>
      <c r="I47" s="133">
        <v>892</v>
      </c>
      <c r="J47" s="133">
        <v>911</v>
      </c>
      <c r="K47" s="175">
        <f>AVERAGE(C47:J47)</f>
        <v>730.125</v>
      </c>
      <c r="L47" s="133"/>
      <c r="R47" s="381"/>
      <c r="S47" s="207" t="s">
        <v>692</v>
      </c>
      <c r="T47" s="285">
        <v>0.38522751778845515</v>
      </c>
      <c r="U47" s="285">
        <v>4.2317740652535933</v>
      </c>
      <c r="V47" s="285">
        <f>(T47+U47+X47+Y47+Z47+W47)*V46/(T46+U46+X46+Y46+Z46+W46)</f>
        <v>13.885311968193989</v>
      </c>
      <c r="W47" s="279">
        <v>14.69</v>
      </c>
      <c r="X47" s="279">
        <v>3.94</v>
      </c>
      <c r="Y47" s="279">
        <v>2</v>
      </c>
      <c r="Z47" s="279">
        <v>7</v>
      </c>
      <c r="AA47" s="279">
        <v>5.89</v>
      </c>
      <c r="AB47" s="287">
        <f t="shared" si="39"/>
        <v>6.5027891939045039</v>
      </c>
      <c r="AC47" s="279"/>
      <c r="AD47" s="313"/>
    </row>
    <row r="48" spans="1:42" ht="29.4" thickBot="1" x14ac:dyDescent="0.35">
      <c r="A48" s="356"/>
      <c r="B48" s="134" t="s">
        <v>582</v>
      </c>
      <c r="C48" s="135">
        <v>0</v>
      </c>
      <c r="D48" s="136">
        <v>0</v>
      </c>
      <c r="E48" s="136">
        <v>0</v>
      </c>
      <c r="F48" s="136">
        <v>0</v>
      </c>
      <c r="G48" s="136">
        <v>2</v>
      </c>
      <c r="H48" s="136">
        <v>1</v>
      </c>
      <c r="I48" s="136">
        <v>3</v>
      </c>
      <c r="J48" s="136">
        <v>0</v>
      </c>
      <c r="K48" s="175">
        <f>AVERAGE(C48:J48)</f>
        <v>0.75</v>
      </c>
      <c r="L48" s="136"/>
      <c r="R48" s="381"/>
      <c r="S48" s="207" t="s">
        <v>589</v>
      </c>
      <c r="T48" s="217">
        <v>6.9999999999999999E-4</v>
      </c>
      <c r="U48" s="217">
        <v>1.83E-2</v>
      </c>
      <c r="V48" s="217">
        <v>6.7000000000000002E-3</v>
      </c>
      <c r="W48" s="217">
        <v>1.4E-2</v>
      </c>
      <c r="X48" s="217">
        <v>3.0999999999999999E-3</v>
      </c>
      <c r="Y48" s="217">
        <v>1.2999999999999999E-3</v>
      </c>
      <c r="Z48" s="217">
        <v>2.5000000000000001E-3</v>
      </c>
      <c r="AA48" s="217">
        <v>2.5999999999999999E-3</v>
      </c>
      <c r="AB48" s="217">
        <f>AVERAGE(T48:AA48)</f>
        <v>6.1500000000000001E-3</v>
      </c>
      <c r="AC48" s="263"/>
      <c r="AD48" s="312"/>
      <c r="AE48"/>
      <c r="AF48"/>
      <c r="AG48"/>
      <c r="AH48"/>
      <c r="AI48"/>
      <c r="AJ48"/>
      <c r="AK48"/>
      <c r="AL48"/>
      <c r="AM48"/>
      <c r="AN48"/>
      <c r="AO48"/>
      <c r="AP48"/>
    </row>
    <row r="49" spans="1:42" ht="15" thickBot="1" x14ac:dyDescent="0.35">
      <c r="A49" s="356"/>
      <c r="B49" s="204" t="s">
        <v>583</v>
      </c>
      <c r="C49" s="137">
        <f t="shared" ref="C49:L49" si="40">C48/C47</f>
        <v>0</v>
      </c>
      <c r="D49" s="137">
        <f t="shared" si="40"/>
        <v>0</v>
      </c>
      <c r="E49" s="137">
        <f t="shared" si="40"/>
        <v>0</v>
      </c>
      <c r="F49" s="137">
        <f t="shared" si="40"/>
        <v>0</v>
      </c>
      <c r="G49" s="137">
        <f t="shared" si="40"/>
        <v>3.3112582781456954E-3</v>
      </c>
      <c r="H49" s="137">
        <f t="shared" si="40"/>
        <v>1.7857142857142857E-3</v>
      </c>
      <c r="I49" s="137">
        <f t="shared" si="40"/>
        <v>3.3632286995515697E-3</v>
      </c>
      <c r="J49" s="137">
        <f t="shared" si="40"/>
        <v>0</v>
      </c>
      <c r="K49" s="176">
        <f t="shared" si="40"/>
        <v>1.0272213662044171E-3</v>
      </c>
      <c r="L49" s="137" t="e">
        <f t="shared" si="40"/>
        <v>#DIV/0!</v>
      </c>
      <c r="R49" s="382"/>
      <c r="S49" s="146" t="s">
        <v>590</v>
      </c>
      <c r="T49" s="217">
        <v>1.9E-2</v>
      </c>
      <c r="U49" s="217">
        <v>3.0000000000000001E-3</v>
      </c>
      <c r="V49" s="217">
        <v>7.4999999999999997E-3</v>
      </c>
      <c r="W49" s="217">
        <v>7.4999999999999997E-3</v>
      </c>
      <c r="X49" s="217">
        <v>0.01</v>
      </c>
      <c r="Y49" s="217">
        <v>0.01</v>
      </c>
      <c r="Z49" s="217">
        <v>0.01</v>
      </c>
      <c r="AA49" s="217">
        <v>0.01</v>
      </c>
      <c r="AB49" s="217">
        <f>AVERAGE(T49:AA49)</f>
        <v>9.6249999999999999E-3</v>
      </c>
      <c r="AC49" s="263">
        <v>0.01</v>
      </c>
      <c r="AD49" s="312"/>
      <c r="AE49"/>
      <c r="AF49"/>
      <c r="AG49"/>
      <c r="AH49"/>
      <c r="AI49"/>
      <c r="AJ49"/>
      <c r="AK49"/>
      <c r="AL49"/>
      <c r="AM49"/>
      <c r="AN49"/>
      <c r="AO49"/>
      <c r="AP49"/>
    </row>
    <row r="50" spans="1:42" ht="29.4" thickBot="1" x14ac:dyDescent="0.35">
      <c r="A50" s="357"/>
      <c r="B50" s="134" t="s">
        <v>579</v>
      </c>
      <c r="C50" s="135">
        <v>88</v>
      </c>
      <c r="D50" s="136">
        <v>102</v>
      </c>
      <c r="E50" s="136">
        <v>67</v>
      </c>
      <c r="F50" s="136">
        <v>233</v>
      </c>
      <c r="G50" s="136">
        <v>225</v>
      </c>
      <c r="H50" s="136">
        <v>226</v>
      </c>
      <c r="I50" s="136">
        <v>249</v>
      </c>
      <c r="J50" s="136">
        <v>213</v>
      </c>
      <c r="K50" s="175">
        <f>AVERAGE(C50:J50)</f>
        <v>175.375</v>
      </c>
      <c r="L50" s="136"/>
      <c r="R50" s="316" t="s">
        <v>577</v>
      </c>
      <c r="S50" s="201" t="s">
        <v>691</v>
      </c>
      <c r="T50" s="256">
        <f>(T46+T42+T38+T34+T30+T26+T22+T18+T14+T10+T6+T2)</f>
        <v>420.96000000000004</v>
      </c>
      <c r="U50" s="256">
        <f t="shared" ref="U50:AC50" si="41">(U46+U42+U38+U34+U30+U26+U22+U18+U14+U10+U6+U2)</f>
        <v>4624.2999999999993</v>
      </c>
      <c r="V50" s="256">
        <f t="shared" si="41"/>
        <v>20416.249999999996</v>
      </c>
      <c r="W50" s="256">
        <f t="shared" si="41"/>
        <v>20213.519999999997</v>
      </c>
      <c r="X50" s="256">
        <f t="shared" si="41"/>
        <v>23618</v>
      </c>
      <c r="Y50" s="256">
        <f t="shared" si="41"/>
        <v>5812.51</v>
      </c>
      <c r="Z50" s="256">
        <f t="shared" si="41"/>
        <v>4446.34</v>
      </c>
      <c r="AA50" s="256">
        <f t="shared" si="41"/>
        <v>3797.92</v>
      </c>
      <c r="AB50" s="256">
        <f t="shared" si="41"/>
        <v>10418.725</v>
      </c>
      <c r="AC50" s="256">
        <f t="shared" si="41"/>
        <v>491.95</v>
      </c>
      <c r="AD50" s="301"/>
      <c r="AE50"/>
      <c r="AF50"/>
      <c r="AG50"/>
      <c r="AH50"/>
      <c r="AI50"/>
      <c r="AJ50"/>
      <c r="AK50"/>
      <c r="AL50"/>
      <c r="AM50"/>
      <c r="AN50"/>
      <c r="AO50"/>
      <c r="AP50"/>
    </row>
    <row r="51" spans="1:42" ht="15" thickBot="1" x14ac:dyDescent="0.35">
      <c r="A51" s="358"/>
      <c r="B51" s="204" t="s">
        <v>580</v>
      </c>
      <c r="C51" s="137">
        <f>C50/C47</f>
        <v>0.13193403298350825</v>
      </c>
      <c r="D51" s="137">
        <f t="shared" ref="D51:J51" si="42">D50/D47</f>
        <v>0.14488636363636365</v>
      </c>
      <c r="E51" s="137">
        <f t="shared" si="42"/>
        <v>6.7404426559356134E-2</v>
      </c>
      <c r="F51" s="137">
        <f t="shared" si="42"/>
        <v>0.45776031434184677</v>
      </c>
      <c r="G51" s="137">
        <f t="shared" si="42"/>
        <v>0.37251655629139074</v>
      </c>
      <c r="H51" s="137">
        <f t="shared" si="42"/>
        <v>0.40357142857142858</v>
      </c>
      <c r="I51" s="137">
        <f t="shared" si="42"/>
        <v>0.27914798206278024</v>
      </c>
      <c r="J51" s="137">
        <f t="shared" si="42"/>
        <v>0.23380900109769484</v>
      </c>
      <c r="K51" s="176">
        <f>K50/K47</f>
        <v>0.24019859613079952</v>
      </c>
      <c r="L51" s="137" t="e">
        <f t="shared" ref="L51" si="43">L50/L47</f>
        <v>#DIV/0!</v>
      </c>
      <c r="R51" s="317"/>
      <c r="S51" s="201" t="s">
        <v>692</v>
      </c>
      <c r="T51" s="285">
        <v>0.38522751778845515</v>
      </c>
      <c r="U51" s="285">
        <v>4.2317740652535933</v>
      </c>
      <c r="V51" s="285">
        <f>(V47+V43+V39+V35+V31+V27+V23+V19+V15+V11+V7+V3)/12</f>
        <v>15.159672550783467</v>
      </c>
      <c r="W51" s="285">
        <f t="shared" ref="W51:AA51" si="44">(W47+W43+W39+W35+W31+W27+W23+W19+W15+W11+W7+W3)/12</f>
        <v>12.220833333333333</v>
      </c>
      <c r="X51" s="285">
        <f t="shared" si="44"/>
        <v>6.982499999999999</v>
      </c>
      <c r="Y51" s="285">
        <f>(Y47+Y43+Y39+Y35+Y31+Y27+Y23+Y19+Y15+Y11+Y7+Y3)/12</f>
        <v>8.7433333333333341</v>
      </c>
      <c r="Z51" s="285">
        <f>(Z47+Z43+Z39+Z35+Z31+Z27+Z23+Z19+Z15+Z11+Z7+Z3)/12</f>
        <v>9.4991666666666674</v>
      </c>
      <c r="AA51" s="285">
        <f t="shared" si="44"/>
        <v>6.1691666666666656</v>
      </c>
      <c r="AB51" s="287">
        <f t="shared" ref="AB51" si="45">AVERAGE(T51:AA51)</f>
        <v>7.9239592667281897</v>
      </c>
      <c r="AC51" s="256">
        <f>(AC47+AC43+AC39+AC35+AC31+AC27+AC23+AC19+AC15+AC11+AC7+AC3)/1</f>
        <v>4</v>
      </c>
      <c r="AD51" s="301"/>
      <c r="AE51"/>
      <c r="AF51"/>
      <c r="AG51"/>
      <c r="AH51"/>
      <c r="AI51"/>
      <c r="AJ51"/>
      <c r="AK51"/>
      <c r="AL51"/>
      <c r="AM51"/>
      <c r="AN51"/>
      <c r="AO51"/>
      <c r="AP51"/>
    </row>
    <row r="52" spans="1:42" ht="15" thickBot="1" x14ac:dyDescent="0.35">
      <c r="A52" s="359" t="s">
        <v>50</v>
      </c>
      <c r="B52" s="205" t="s">
        <v>573</v>
      </c>
      <c r="C52" s="138">
        <v>506</v>
      </c>
      <c r="D52" s="139">
        <v>661</v>
      </c>
      <c r="E52" s="139">
        <v>993</v>
      </c>
      <c r="F52" s="139">
        <v>473</v>
      </c>
      <c r="G52" s="139">
        <v>653</v>
      </c>
      <c r="H52" s="139">
        <v>761</v>
      </c>
      <c r="I52" s="139">
        <v>1033</v>
      </c>
      <c r="J52" s="139">
        <v>760</v>
      </c>
      <c r="K52" s="177">
        <f>AVERAGE(C52:J52)</f>
        <v>730</v>
      </c>
      <c r="L52" s="139"/>
      <c r="R52" s="317"/>
      <c r="S52" s="201" t="s">
        <v>589</v>
      </c>
      <c r="T52" s="262">
        <f>(T48+T44+T40+T36+T32+T28+T24+T20+T16+T12+T8+T4)/12</f>
        <v>1.175E-3</v>
      </c>
      <c r="U52" s="262">
        <f>(U48+U44+U40+U36+U32+U28+U24+U20+U16+U12+U8+U4)/12</f>
        <v>3.1333333333333335E-3</v>
      </c>
      <c r="V52" s="262">
        <f>(V48+V44+V40+V36+V32+V28+V24+V20+V16+V12+V8+V4)/12</f>
        <v>7.8166666666666662E-3</v>
      </c>
      <c r="W52" s="262">
        <f>(W48+W44+W40+W36+W32+W28+W24+W20+W16+W12+W8+W4)/12</f>
        <v>1.2283333333333332E-2</v>
      </c>
      <c r="X52" s="262">
        <f>(X48+X44+X40+X36+X32+X28+X24+X20+X16+X12+X8+X4)/12</f>
        <v>9.6916666666666661E-3</v>
      </c>
      <c r="Y52" s="262">
        <f>(Y48+Y44+Y40+Y36+Y32+Y28+Y24+Y20+Y16+Y12+Y8+Y4)/12</f>
        <v>5.1583333333333333E-3</v>
      </c>
      <c r="Z52" s="262">
        <f>(Z48+Z44+Z40+Z36+Z32+Z28+Z24+Z20+Z16+Z12+Z8+Z4)/12</f>
        <v>5.3083333333333342E-3</v>
      </c>
      <c r="AA52" s="262">
        <f>(AA48+AA44+AA40+AA36+AA32+AA28+AA24+AA20+AA16+AA12+AA8+AA4)/12</f>
        <v>2.1583333333333333E-3</v>
      </c>
      <c r="AB52" s="262">
        <f>(AB48+AB44+AB40+AB36+AB32+AB28+AB24+AB20+AB16+AB12+AB8+AB4)/12</f>
        <v>5.8867559523809523E-3</v>
      </c>
      <c r="AC52" s="262">
        <f>(AC48+AC44+AC40+AC36+AC32+AC28+AC24+AC20+AC16+AC12+AC8+AC4)/12</f>
        <v>2.4166666666666664E-4</v>
      </c>
      <c r="AD52" s="314"/>
      <c r="AE52"/>
    </row>
    <row r="53" spans="1:42" ht="29.4" thickBot="1" x14ac:dyDescent="0.35">
      <c r="A53" s="360"/>
      <c r="B53" s="140" t="s">
        <v>582</v>
      </c>
      <c r="C53" s="141"/>
      <c r="D53" s="142">
        <v>0</v>
      </c>
      <c r="E53" s="142">
        <v>2</v>
      </c>
      <c r="F53" s="142">
        <v>1</v>
      </c>
      <c r="G53" s="142">
        <v>1</v>
      </c>
      <c r="H53" s="142">
        <v>1</v>
      </c>
      <c r="I53" s="142">
        <v>2</v>
      </c>
      <c r="J53" s="142">
        <v>0</v>
      </c>
      <c r="K53" s="177">
        <f>AVERAGE(C53:J53)</f>
        <v>1</v>
      </c>
      <c r="L53" s="142"/>
      <c r="R53" s="318"/>
      <c r="S53" s="128" t="s">
        <v>590</v>
      </c>
      <c r="T53" s="262">
        <v>0.01</v>
      </c>
      <c r="U53" s="262">
        <v>0.01</v>
      </c>
      <c r="V53" s="262">
        <v>0.01</v>
      </c>
      <c r="W53" s="262">
        <v>0.01</v>
      </c>
      <c r="X53" s="262">
        <v>0.01</v>
      </c>
      <c r="Y53" s="262">
        <v>0.01</v>
      </c>
      <c r="Z53" s="262">
        <v>0.01</v>
      </c>
      <c r="AA53" s="262">
        <v>0.01</v>
      </c>
      <c r="AB53" s="262">
        <f>AVERAGE(T53:AA53)</f>
        <v>0.01</v>
      </c>
      <c r="AC53" s="262">
        <v>0.01</v>
      </c>
      <c r="AD53" s="314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15" thickBot="1" x14ac:dyDescent="0.35">
      <c r="A54" s="360"/>
      <c r="B54" s="206" t="s">
        <v>583</v>
      </c>
      <c r="C54" s="143">
        <f t="shared" ref="C54:L54" si="46">C53/C52</f>
        <v>0</v>
      </c>
      <c r="D54" s="143">
        <f t="shared" si="46"/>
        <v>0</v>
      </c>
      <c r="E54" s="143">
        <f t="shared" si="46"/>
        <v>2.014098690835851E-3</v>
      </c>
      <c r="F54" s="143">
        <f t="shared" si="46"/>
        <v>2.1141649048625794E-3</v>
      </c>
      <c r="G54" s="143">
        <f t="shared" si="46"/>
        <v>1.5313935681470138E-3</v>
      </c>
      <c r="H54" s="143">
        <f t="shared" si="46"/>
        <v>1.3140604467805519E-3</v>
      </c>
      <c r="I54" s="143">
        <f t="shared" si="46"/>
        <v>1.9361084220716361E-3</v>
      </c>
      <c r="J54" s="143">
        <f t="shared" si="46"/>
        <v>0</v>
      </c>
      <c r="K54" s="178">
        <f t="shared" si="46"/>
        <v>1.3698630136986301E-3</v>
      </c>
      <c r="L54" s="143" t="e">
        <f t="shared" si="46"/>
        <v>#DIV/0!</v>
      </c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8.8" x14ac:dyDescent="0.3">
      <c r="A55" s="361"/>
      <c r="B55" s="140" t="s">
        <v>579</v>
      </c>
      <c r="C55" s="141">
        <v>95</v>
      </c>
      <c r="D55" s="142">
        <v>95</v>
      </c>
      <c r="E55" s="142">
        <v>63</v>
      </c>
      <c r="F55" s="142">
        <v>207</v>
      </c>
      <c r="G55" s="142">
        <v>294</v>
      </c>
      <c r="H55" s="142">
        <v>196</v>
      </c>
      <c r="I55" s="142">
        <v>242</v>
      </c>
      <c r="J55" s="142">
        <v>162</v>
      </c>
      <c r="K55" s="177">
        <f>AVERAGE(C55:J55)</f>
        <v>169.25</v>
      </c>
      <c r="L55" s="142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15" thickBot="1" x14ac:dyDescent="0.35">
      <c r="A56" s="362"/>
      <c r="B56" s="206" t="s">
        <v>580</v>
      </c>
      <c r="C56" s="143">
        <f>C55/C52</f>
        <v>0.18774703557312253</v>
      </c>
      <c r="D56" s="143">
        <f t="shared" ref="D56:J56" si="47">D55/D52</f>
        <v>0.1437216338880484</v>
      </c>
      <c r="E56" s="143">
        <f t="shared" si="47"/>
        <v>6.3444108761329304E-2</v>
      </c>
      <c r="F56" s="143">
        <f t="shared" si="47"/>
        <v>0.43763213530655393</v>
      </c>
      <c r="G56" s="143">
        <f t="shared" si="47"/>
        <v>0.45022970903522203</v>
      </c>
      <c r="H56" s="143">
        <f t="shared" si="47"/>
        <v>0.25755584756898819</v>
      </c>
      <c r="I56" s="143">
        <f t="shared" si="47"/>
        <v>0.23426911907066797</v>
      </c>
      <c r="J56" s="143">
        <f t="shared" si="47"/>
        <v>0.2131578947368421</v>
      </c>
      <c r="K56" s="178">
        <f>K55/K52</f>
        <v>0.23184931506849316</v>
      </c>
      <c r="L56" s="143" t="e">
        <f t="shared" ref="L56" si="48">L55/L52</f>
        <v>#DIV/0!</v>
      </c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15" thickBot="1" x14ac:dyDescent="0.35">
      <c r="A57" s="363" t="s">
        <v>576</v>
      </c>
      <c r="B57" s="207" t="s">
        <v>573</v>
      </c>
      <c r="C57" s="144">
        <v>521</v>
      </c>
      <c r="D57" s="145">
        <v>417</v>
      </c>
      <c r="E57" s="145">
        <v>484</v>
      </c>
      <c r="F57" s="145">
        <v>189</v>
      </c>
      <c r="G57" s="145">
        <v>710</v>
      </c>
      <c r="H57" s="145">
        <v>297</v>
      </c>
      <c r="I57" s="145">
        <v>335</v>
      </c>
      <c r="J57" s="145">
        <v>434</v>
      </c>
      <c r="K57" s="179">
        <f>AVERAGE(C57:J57)</f>
        <v>423.375</v>
      </c>
      <c r="L57" s="145"/>
    </row>
    <row r="58" spans="1:42" ht="28.8" x14ac:dyDescent="0.3">
      <c r="A58" s="364"/>
      <c r="B58" s="146" t="s">
        <v>582</v>
      </c>
      <c r="C58" s="147">
        <v>0</v>
      </c>
      <c r="D58" s="148">
        <v>0</v>
      </c>
      <c r="E58" s="148">
        <v>0</v>
      </c>
      <c r="F58" s="148">
        <v>2</v>
      </c>
      <c r="G58" s="148">
        <v>1</v>
      </c>
      <c r="H58" s="148">
        <v>0</v>
      </c>
      <c r="I58" s="148">
        <v>0</v>
      </c>
      <c r="J58" s="148">
        <v>0</v>
      </c>
      <c r="K58" s="179">
        <f>AVERAGE(C58:J58)</f>
        <v>0.375</v>
      </c>
      <c r="L58" s="14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5" thickBot="1" x14ac:dyDescent="0.35">
      <c r="A59" s="364"/>
      <c r="B59" s="208" t="s">
        <v>583</v>
      </c>
      <c r="C59" s="149">
        <f t="shared" ref="C59:L59" si="49">C58/C57</f>
        <v>0</v>
      </c>
      <c r="D59" s="149">
        <f t="shared" si="49"/>
        <v>0</v>
      </c>
      <c r="E59" s="149">
        <f t="shared" si="49"/>
        <v>0</v>
      </c>
      <c r="F59" s="149">
        <f t="shared" si="49"/>
        <v>1.0582010582010581E-2</v>
      </c>
      <c r="G59" s="149">
        <f t="shared" si="49"/>
        <v>1.4084507042253522E-3</v>
      </c>
      <c r="H59" s="149">
        <f t="shared" si="49"/>
        <v>0</v>
      </c>
      <c r="I59" s="149">
        <f t="shared" si="49"/>
        <v>0</v>
      </c>
      <c r="J59" s="149">
        <f t="shared" si="49"/>
        <v>0</v>
      </c>
      <c r="K59" s="180">
        <f t="shared" si="49"/>
        <v>8.8573959255978745E-4</v>
      </c>
      <c r="L59" s="149" t="e">
        <f t="shared" si="49"/>
        <v>#DIV/0!</v>
      </c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8.8" x14ac:dyDescent="0.3">
      <c r="A60" s="365"/>
      <c r="B60" s="146" t="s">
        <v>579</v>
      </c>
      <c r="C60" s="147">
        <v>30</v>
      </c>
      <c r="D60" s="148">
        <v>62</v>
      </c>
      <c r="E60" s="148">
        <v>63</v>
      </c>
      <c r="F60" s="148">
        <v>114</v>
      </c>
      <c r="G60" s="148">
        <v>196</v>
      </c>
      <c r="H60" s="148">
        <v>50</v>
      </c>
      <c r="I60" s="148">
        <v>56</v>
      </c>
      <c r="J60" s="148">
        <v>115</v>
      </c>
      <c r="K60" s="179">
        <f>AVERAGE(C60:J60)</f>
        <v>85.75</v>
      </c>
      <c r="L60" s="148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15" thickBot="1" x14ac:dyDescent="0.35">
      <c r="A61" s="366"/>
      <c r="B61" s="208" t="s">
        <v>580</v>
      </c>
      <c r="C61" s="150">
        <f>C60/C57</f>
        <v>5.7581573896353169E-2</v>
      </c>
      <c r="D61" s="150">
        <f t="shared" ref="D61:J61" si="50">D60/D57</f>
        <v>0.14868105515587529</v>
      </c>
      <c r="E61" s="150">
        <f t="shared" si="50"/>
        <v>0.13016528925619836</v>
      </c>
      <c r="F61" s="150">
        <f t="shared" si="50"/>
        <v>0.60317460317460314</v>
      </c>
      <c r="G61" s="150">
        <f t="shared" si="50"/>
        <v>0.27605633802816903</v>
      </c>
      <c r="H61" s="150">
        <f t="shared" si="50"/>
        <v>0.16835016835016836</v>
      </c>
      <c r="I61" s="150">
        <f t="shared" si="50"/>
        <v>0.16716417910447762</v>
      </c>
      <c r="J61" s="150">
        <f t="shared" si="50"/>
        <v>0.26497695852534564</v>
      </c>
      <c r="K61" s="180">
        <f>K60/K57</f>
        <v>0.20253912016533807</v>
      </c>
      <c r="L61" s="150" t="e">
        <f t="shared" ref="L61" si="51">L60/L57</f>
        <v>#DIV/0!</v>
      </c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15" thickBot="1" x14ac:dyDescent="0.35">
      <c r="A62" s="339" t="s">
        <v>577</v>
      </c>
      <c r="B62" s="209" t="s">
        <v>573</v>
      </c>
      <c r="C62" s="151">
        <v>6633</v>
      </c>
      <c r="D62" s="151">
        <v>7000</v>
      </c>
      <c r="E62" s="151">
        <v>7910</v>
      </c>
      <c r="F62" s="151">
        <v>7009</v>
      </c>
      <c r="G62" s="151">
        <v>8479</v>
      </c>
      <c r="H62" s="151">
        <v>6949</v>
      </c>
      <c r="I62" s="151">
        <v>6885</v>
      </c>
      <c r="J62" s="151">
        <v>8367</v>
      </c>
      <c r="K62" s="183">
        <f>AVERAGE(C62:J62)</f>
        <v>7404</v>
      </c>
      <c r="L62" s="151"/>
    </row>
    <row r="63" spans="1:42" ht="28.8" x14ac:dyDescent="0.3">
      <c r="A63" s="340"/>
      <c r="B63" s="152" t="s">
        <v>582</v>
      </c>
      <c r="C63" s="153">
        <f t="shared" ref="C63:J63" si="52">C58+C53+C48+C43+C38+C33+C28+C23+C18+C13+C8+C3</f>
        <v>0</v>
      </c>
      <c r="D63" s="153">
        <f t="shared" si="52"/>
        <v>0</v>
      </c>
      <c r="E63" s="153">
        <f t="shared" si="52"/>
        <v>5</v>
      </c>
      <c r="F63" s="153">
        <f t="shared" si="52"/>
        <v>6</v>
      </c>
      <c r="G63" s="153">
        <f t="shared" si="52"/>
        <v>32</v>
      </c>
      <c r="H63" s="153">
        <f t="shared" si="52"/>
        <v>12</v>
      </c>
      <c r="I63" s="153">
        <f t="shared" si="52"/>
        <v>14</v>
      </c>
      <c r="J63" s="153">
        <f t="shared" si="52"/>
        <v>3</v>
      </c>
      <c r="K63" s="181">
        <f>AVERAGE(C63:J63)</f>
        <v>9</v>
      </c>
      <c r="L63" s="15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15" thickBot="1" x14ac:dyDescent="0.35">
      <c r="A64" s="340"/>
      <c r="B64" s="210" t="s">
        <v>583</v>
      </c>
      <c r="C64" s="154">
        <f>C63/C62</f>
        <v>0</v>
      </c>
      <c r="D64" s="154">
        <f t="shared" ref="D64:K64" si="53">D63/D62</f>
        <v>0</v>
      </c>
      <c r="E64" s="154">
        <f t="shared" si="53"/>
        <v>6.3211125158027818E-4</v>
      </c>
      <c r="F64" s="154">
        <f t="shared" si="53"/>
        <v>8.5604223141674991E-4</v>
      </c>
      <c r="G64" s="154">
        <f t="shared" si="53"/>
        <v>3.7740299563627788E-3</v>
      </c>
      <c r="H64" s="154">
        <f t="shared" si="53"/>
        <v>1.7268671751331126E-3</v>
      </c>
      <c r="I64" s="154">
        <f t="shared" si="53"/>
        <v>2.0334059549745823E-3</v>
      </c>
      <c r="J64" s="154">
        <f t="shared" si="53"/>
        <v>3.5855145213338117E-4</v>
      </c>
      <c r="K64" s="154">
        <f t="shared" si="53"/>
        <v>1.2155591572123178E-3</v>
      </c>
      <c r="L64" s="154" t="e">
        <f t="shared" ref="L64" si="54">L63/L62</f>
        <v>#DIV/0!</v>
      </c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9.4" thickBot="1" x14ac:dyDescent="0.35">
      <c r="A65" s="340"/>
      <c r="B65" s="210" t="s">
        <v>584</v>
      </c>
      <c r="C65" s="212">
        <v>2.5000000000000001E-3</v>
      </c>
      <c r="D65" s="212">
        <v>2.5000000000000001E-3</v>
      </c>
      <c r="E65" s="212">
        <v>2.5000000000000001E-3</v>
      </c>
      <c r="F65" s="212">
        <v>2.5000000000000001E-3</v>
      </c>
      <c r="G65" s="212">
        <v>2.5000000000000001E-3</v>
      </c>
      <c r="H65" s="212">
        <v>2.5000000000000001E-3</v>
      </c>
      <c r="I65" s="212">
        <v>2.5000000000000001E-3</v>
      </c>
      <c r="J65" s="212">
        <v>2.5000000000000001E-3</v>
      </c>
      <c r="K65" s="212">
        <v>2.5000000000000001E-3</v>
      </c>
      <c r="L65" s="212">
        <v>2.5000000000000001E-3</v>
      </c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8.8" x14ac:dyDescent="0.3">
      <c r="A66" s="341"/>
      <c r="B66" s="152" t="s">
        <v>579</v>
      </c>
      <c r="C66" s="153">
        <f t="shared" ref="C66:J66" si="55">C60+C55+C50+C45+C40+C35+C30+C25+C20+C15+C10+C5</f>
        <v>674</v>
      </c>
      <c r="D66" s="153">
        <f t="shared" si="55"/>
        <v>633</v>
      </c>
      <c r="E66" s="153">
        <f t="shared" si="55"/>
        <v>1123</v>
      </c>
      <c r="F66" s="153">
        <f t="shared" si="55"/>
        <v>2535</v>
      </c>
      <c r="G66" s="153">
        <f t="shared" si="55"/>
        <v>2358</v>
      </c>
      <c r="H66" s="153">
        <f t="shared" si="55"/>
        <v>3500</v>
      </c>
      <c r="I66" s="153">
        <f t="shared" si="55"/>
        <v>2963</v>
      </c>
      <c r="J66" s="153">
        <f t="shared" si="55"/>
        <v>1706</v>
      </c>
      <c r="K66" s="183">
        <f>AVERAGE(C66:J66)</f>
        <v>1936.5</v>
      </c>
      <c r="L66" s="153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15" thickBot="1" x14ac:dyDescent="0.35">
      <c r="A67" s="341"/>
      <c r="B67" s="210" t="s">
        <v>580</v>
      </c>
      <c r="C67" s="154">
        <f>C66/C62</f>
        <v>0.10161314638926579</v>
      </c>
      <c r="D67" s="154">
        <f t="shared" ref="D67:K67" si="56">D66/D62</f>
        <v>9.0428571428571428E-2</v>
      </c>
      <c r="E67" s="154">
        <f t="shared" si="56"/>
        <v>0.14197218710493048</v>
      </c>
      <c r="F67" s="154">
        <f t="shared" si="56"/>
        <v>0.36167784277357684</v>
      </c>
      <c r="G67" s="154">
        <f t="shared" si="56"/>
        <v>0.27809883240948224</v>
      </c>
      <c r="H67" s="154">
        <f t="shared" si="56"/>
        <v>0.50366959274715783</v>
      </c>
      <c r="I67" s="154">
        <f t="shared" si="56"/>
        <v>0.43035584604212057</v>
      </c>
      <c r="J67" s="154">
        <f t="shared" si="56"/>
        <v>0.20389625911318274</v>
      </c>
      <c r="K67" s="154">
        <f t="shared" si="56"/>
        <v>0.26154781199351701</v>
      </c>
      <c r="L67" s="154" t="e">
        <f t="shared" ref="L67" si="57">L66/L62</f>
        <v>#DIV/0!</v>
      </c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9.4" thickBot="1" x14ac:dyDescent="0.35">
      <c r="A68" s="342"/>
      <c r="B68" s="210" t="s">
        <v>581</v>
      </c>
      <c r="C68" s="155">
        <v>0.28999999999999998</v>
      </c>
      <c r="D68" s="155">
        <v>0.28999999999999998</v>
      </c>
      <c r="E68" s="155">
        <v>0.28999999999999998</v>
      </c>
      <c r="F68" s="155">
        <v>0.28999999999999998</v>
      </c>
      <c r="G68" s="155">
        <v>0.28999999999999998</v>
      </c>
      <c r="H68" s="155">
        <v>0.28999999999999998</v>
      </c>
      <c r="I68" s="155">
        <v>0.28999999999999998</v>
      </c>
      <c r="J68" s="155">
        <v>0.28999999999999998</v>
      </c>
      <c r="K68" s="155">
        <v>0.28999999999999998</v>
      </c>
      <c r="L68" s="155">
        <v>0.28999999999999998</v>
      </c>
      <c r="AE68"/>
      <c r="AF68"/>
      <c r="AG68"/>
      <c r="AH68"/>
      <c r="AI68"/>
      <c r="AJ68"/>
      <c r="AK68"/>
      <c r="AL68"/>
      <c r="AM68"/>
      <c r="AN68"/>
      <c r="AO68"/>
      <c r="AP68"/>
    </row>
    <row r="70" spans="1:42" x14ac:dyDescent="0.3">
      <c r="AE70" s="214"/>
    </row>
  </sheetData>
  <autoFilter ref="R1:AP68" xr:uid="{D07A170E-8D83-46AD-A22D-8581EA3FC465}"/>
  <mergeCells count="26">
    <mergeCell ref="R26:R29"/>
    <mergeCell ref="R30:R33"/>
    <mergeCell ref="R6:R9"/>
    <mergeCell ref="A62:A68"/>
    <mergeCell ref="A32:A36"/>
    <mergeCell ref="A37:A41"/>
    <mergeCell ref="A42:A46"/>
    <mergeCell ref="A47:A51"/>
    <mergeCell ref="A52:A56"/>
    <mergeCell ref="A57:A61"/>
    <mergeCell ref="R50:R53"/>
    <mergeCell ref="A2:A6"/>
    <mergeCell ref="A7:A11"/>
    <mergeCell ref="A12:A16"/>
    <mergeCell ref="A17:A21"/>
    <mergeCell ref="A22:A26"/>
    <mergeCell ref="A27:A31"/>
    <mergeCell ref="R2:R5"/>
    <mergeCell ref="R10:R13"/>
    <mergeCell ref="R14:R17"/>
    <mergeCell ref="R46:R49"/>
    <mergeCell ref="R42:R45"/>
    <mergeCell ref="R38:R41"/>
    <mergeCell ref="R34:R37"/>
    <mergeCell ref="R18:R21"/>
    <mergeCell ref="R22:R25"/>
  </mergeCells>
  <phoneticPr fontId="6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Annual dashboard</vt:lpstr>
      <vt:lpstr>TCD</vt:lpstr>
      <vt:lpstr>Suivi Journalier des fautes</vt:lpstr>
      <vt:lpstr>Depuis 2018</vt:lpstr>
      <vt:lpstr>CNC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ElOgob, Alaeddine</dc:creator>
  <cp:lastModifiedBy>aziz tilouch</cp:lastModifiedBy>
  <cp:lastPrinted>2024-03-05T15:41:45Z</cp:lastPrinted>
  <dcterms:created xsi:type="dcterms:W3CDTF">2022-12-20T07:45:11Z</dcterms:created>
  <dcterms:modified xsi:type="dcterms:W3CDTF">2026-03-17T22:23:28Z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2022-12-20T08:06:41Z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47dc663a-4c52-436c-be45-a6d6c3e86e1d</vt:lpwstr>
  </property>
  <property fmtid="{D5CDD505-2E9C-101B-9397-08002B2CF9AE}" pid="8" name="MSIP_Label_43c1c031-4620-46ba-8d17-94284d681a00_ContentBits">
    <vt:lpwstr>2</vt:lpwstr>
  </property>
</Properties>
</file>